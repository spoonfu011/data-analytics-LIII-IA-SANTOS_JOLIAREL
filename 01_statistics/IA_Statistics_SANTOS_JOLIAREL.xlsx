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INAL DAY\data-analytics-LIII-IA-SANTOS_JOLIAREL\01_statistics\"/>
    </mc:Choice>
  </mc:AlternateContent>
  <xr:revisionPtr revIDLastSave="0" documentId="8_{072AB2FB-DCFA-4088-80F0-BCEA9FA4E0FB}" xr6:coauthVersionLast="47" xr6:coauthVersionMax="47" xr10:uidLastSave="{00000000-0000-0000-0000-000000000000}"/>
  <bookViews>
    <workbookView xWindow="-120" yWindow="-120" windowWidth="26640" windowHeight="14640" xr2:uid="{C15FD045-B181-4FB2-947C-D9093CCE565A}"/>
  </bookViews>
  <sheets>
    <sheet name="InstitutionalAssessment_transac" sheetId="2" r:id="rId1"/>
    <sheet name="Sheet1" sheetId="1" r:id="rId2"/>
  </sheets>
  <definedNames>
    <definedName name="_xlchart.v1.0" hidden="1">InstitutionalAssessment_transac!$G$1</definedName>
    <definedName name="_xlchart.v1.1" hidden="1">InstitutionalAssessment_transac!$G$2:$G$206</definedName>
    <definedName name="ExternalData_1" localSheetId="0" hidden="1">InstitutionalAssessment_transac!$A$1:$G$206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K12" i="2"/>
  <c r="K10" i="2"/>
  <c r="K6" i="2"/>
  <c r="K8" i="2"/>
  <c r="K7" i="2"/>
  <c r="L4" i="2"/>
  <c r="K4" i="2"/>
  <c r="L3" i="2"/>
  <c r="K3" i="2"/>
  <c r="K2" i="2"/>
  <c r="L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3D8871-687D-49C0-8AD8-AC52F7015808}" keepAlive="1" name="Query - InstitutionalAssessment_transactions" description="Connection to the 'InstitutionalAssessment_transactions' query in the workbook." type="5" refreshedVersion="7" background="1" saveData="1">
    <dbPr connection="Provider=Microsoft.Mashup.OleDb.1;Data Source=$Workbook$;Location=InstitutionalAssessment_transactions;Extended Properties=&quot;&quot;" command="SELECT * FROM [InstitutionalAssessment_transactions]"/>
  </connection>
</connections>
</file>

<file path=xl/sharedStrings.xml><?xml version="1.0" encoding="utf-8"?>
<sst xmlns="http://schemas.openxmlformats.org/spreadsheetml/2006/main" count="633" uniqueCount="245">
  <si>
    <t>transaction_id</t>
  </si>
  <si>
    <t>date</t>
  </si>
  <si>
    <t>store_id</t>
  </si>
  <si>
    <t>product_id</t>
  </si>
  <si>
    <t>units</t>
  </si>
  <si>
    <t>unit_price</t>
  </si>
  <si>
    <t>total_amount</t>
  </si>
  <si>
    <t>T00115</t>
  </si>
  <si>
    <t>S004</t>
  </si>
  <si>
    <t>P201</t>
  </si>
  <si>
    <t>T00142</t>
  </si>
  <si>
    <t>S006</t>
  </si>
  <si>
    <t>P301</t>
  </si>
  <si>
    <t>T00058</t>
  </si>
  <si>
    <t>P202</t>
  </si>
  <si>
    <t>T00124</t>
  </si>
  <si>
    <t>P101</t>
  </si>
  <si>
    <t>T00107</t>
  </si>
  <si>
    <t>S002</t>
  </si>
  <si>
    <t>T00143</t>
  </si>
  <si>
    <t>P402</t>
  </si>
  <si>
    <t>T00028</t>
  </si>
  <si>
    <t>P403</t>
  </si>
  <si>
    <t>T00079</t>
  </si>
  <si>
    <t>P204</t>
  </si>
  <si>
    <t>T00032</t>
  </si>
  <si>
    <t>S001</t>
  </si>
  <si>
    <t>P104</t>
  </si>
  <si>
    <t>T00146</t>
  </si>
  <si>
    <t>S003</t>
  </si>
  <si>
    <t>T00120</t>
  </si>
  <si>
    <t>S005</t>
  </si>
  <si>
    <t>T00052</t>
  </si>
  <si>
    <t>P404</t>
  </si>
  <si>
    <t>T00081</t>
  </si>
  <si>
    <t>T00080</t>
  </si>
  <si>
    <t>T00065</t>
  </si>
  <si>
    <t>T00166</t>
  </si>
  <si>
    <t>T00094</t>
  </si>
  <si>
    <t>P302</t>
  </si>
  <si>
    <t>T00123</t>
  </si>
  <si>
    <t>T00145</t>
  </si>
  <si>
    <t>P401</t>
  </si>
  <si>
    <t>T00056</t>
  </si>
  <si>
    <t>P102</t>
  </si>
  <si>
    <t>T00180</t>
  </si>
  <si>
    <t>T00178</t>
  </si>
  <si>
    <t>T00016</t>
  </si>
  <si>
    <t>T00067</t>
  </si>
  <si>
    <t>P304</t>
  </si>
  <si>
    <t>T00101</t>
  </si>
  <si>
    <t>P103</t>
  </si>
  <si>
    <t>T00186</t>
  </si>
  <si>
    <t>P303</t>
  </si>
  <si>
    <t>T00069</t>
  </si>
  <si>
    <t>T00194</t>
  </si>
  <si>
    <t>T00027</t>
  </si>
  <si>
    <t>T00155</t>
  </si>
  <si>
    <t>T00104</t>
  </si>
  <si>
    <t>T00150</t>
  </si>
  <si>
    <t>T00041</t>
  </si>
  <si>
    <t>T00071</t>
  </si>
  <si>
    <t>P203</t>
  </si>
  <si>
    <t>T00183</t>
  </si>
  <si>
    <t>T00162</t>
  </si>
  <si>
    <t>T00053</t>
  </si>
  <si>
    <t>T00001</t>
  </si>
  <si>
    <t>T00154</t>
  </si>
  <si>
    <t>T00075</t>
  </si>
  <si>
    <t>T00108</t>
  </si>
  <si>
    <t>T00091</t>
  </si>
  <si>
    <t>T00093</t>
  </si>
  <si>
    <t>T00149</t>
  </si>
  <si>
    <t>T00187</t>
  </si>
  <si>
    <t>T00072</t>
  </si>
  <si>
    <t>T00083</t>
  </si>
  <si>
    <t>T00193</t>
  </si>
  <si>
    <t>T00022</t>
  </si>
  <si>
    <t>T00048</t>
  </si>
  <si>
    <t>T00019</t>
  </si>
  <si>
    <t>T00175</t>
  </si>
  <si>
    <t>T00131</t>
  </si>
  <si>
    <t>T00011</t>
  </si>
  <si>
    <t>T00134</t>
  </si>
  <si>
    <t>T00153</t>
  </si>
  <si>
    <t>T00158</t>
  </si>
  <si>
    <t>T00034</t>
  </si>
  <si>
    <t>T00164</t>
  </si>
  <si>
    <t>T00110</t>
  </si>
  <si>
    <t>T00035</t>
  </si>
  <si>
    <t>T00147</t>
  </si>
  <si>
    <t>T00009</t>
  </si>
  <si>
    <t>T00141</t>
  </si>
  <si>
    <t>T00023</t>
  </si>
  <si>
    <t>T00054</t>
  </si>
  <si>
    <t>T00042</t>
  </si>
  <si>
    <t>T00095</t>
  </si>
  <si>
    <t>T00151</t>
  </si>
  <si>
    <t>T00017</t>
  </si>
  <si>
    <t>T00140</t>
  </si>
  <si>
    <t>T00005</t>
  </si>
  <si>
    <t>T00006</t>
  </si>
  <si>
    <t>T00013</t>
  </si>
  <si>
    <t>T00163</t>
  </si>
  <si>
    <t>T00109</t>
  </si>
  <si>
    <t>T00025</t>
  </si>
  <si>
    <t>T00029</t>
  </si>
  <si>
    <t>T00088</t>
  </si>
  <si>
    <t>T00197</t>
  </si>
  <si>
    <t>T00030</t>
  </si>
  <si>
    <t>T00179</t>
  </si>
  <si>
    <t>T00064</t>
  </si>
  <si>
    <t>T00078</t>
  </si>
  <si>
    <t>T00007</t>
  </si>
  <si>
    <t>T00073</t>
  </si>
  <si>
    <t>T00126</t>
  </si>
  <si>
    <t>T00036</t>
  </si>
  <si>
    <t>T00051</t>
  </si>
  <si>
    <t>T00172</t>
  </si>
  <si>
    <t>T00003</t>
  </si>
  <si>
    <t>T00097</t>
  </si>
  <si>
    <t>T00090</t>
  </si>
  <si>
    <t>T00144</t>
  </si>
  <si>
    <t>T00100</t>
  </si>
  <si>
    <t>T00046</t>
  </si>
  <si>
    <t>T00182</t>
  </si>
  <si>
    <t>T00049</t>
  </si>
  <si>
    <t>T00031</t>
  </si>
  <si>
    <t>T00014</t>
  </si>
  <si>
    <t>T00188</t>
  </si>
  <si>
    <t>T00050</t>
  </si>
  <si>
    <t>T00156</t>
  </si>
  <si>
    <t>T00190</t>
  </si>
  <si>
    <t>T00176</t>
  </si>
  <si>
    <t>T00195</t>
  </si>
  <si>
    <t>T00089</t>
  </si>
  <si>
    <t>T00055</t>
  </si>
  <si>
    <t>T00169</t>
  </si>
  <si>
    <t>T00198</t>
  </si>
  <si>
    <t>T00148</t>
  </si>
  <si>
    <t>T00138</t>
  </si>
  <si>
    <t>T00057</t>
  </si>
  <si>
    <t>T00165</t>
  </si>
  <si>
    <t>T00171</t>
  </si>
  <si>
    <t>T00070</t>
  </si>
  <si>
    <t>T00177</t>
  </si>
  <si>
    <t>T00133</t>
  </si>
  <si>
    <t>T00174</t>
  </si>
  <si>
    <t>T00132</t>
  </si>
  <si>
    <t>T00103</t>
  </si>
  <si>
    <t>T00116</t>
  </si>
  <si>
    <t>T00002</t>
  </si>
  <si>
    <t>T00086</t>
  </si>
  <si>
    <t>T00130</t>
  </si>
  <si>
    <t>T00118</t>
  </si>
  <si>
    <t>T00066</t>
  </si>
  <si>
    <t>T00119</t>
  </si>
  <si>
    <t>T00205</t>
  </si>
  <si>
    <t>T00184</t>
  </si>
  <si>
    <t>T00128</t>
  </si>
  <si>
    <t>T00062</t>
  </si>
  <si>
    <t>T00200</t>
  </si>
  <si>
    <t>T00173</t>
  </si>
  <si>
    <t>T00045</t>
  </si>
  <si>
    <t>T00044</t>
  </si>
  <si>
    <t>T00047</t>
  </si>
  <si>
    <t>T00203</t>
  </si>
  <si>
    <t>T00136</t>
  </si>
  <si>
    <t>T00063</t>
  </si>
  <si>
    <t>T00038</t>
  </si>
  <si>
    <t>T00111</t>
  </si>
  <si>
    <t>T00096</t>
  </si>
  <si>
    <t>T00092</t>
  </si>
  <si>
    <t>T00076</t>
  </si>
  <si>
    <t>T00015</t>
  </si>
  <si>
    <t>T00084</t>
  </si>
  <si>
    <t>T00202</t>
  </si>
  <si>
    <t>T00008</t>
  </si>
  <si>
    <t>T00077</t>
  </si>
  <si>
    <t>T00043</t>
  </si>
  <si>
    <t>T00114</t>
  </si>
  <si>
    <t>T00157</t>
  </si>
  <si>
    <t>T00189</t>
  </si>
  <si>
    <t>T00112</t>
  </si>
  <si>
    <t>T00024</t>
  </si>
  <si>
    <t>T00059</t>
  </si>
  <si>
    <t>T00074</t>
  </si>
  <si>
    <t>T00061</t>
  </si>
  <si>
    <t>T00018</t>
  </si>
  <si>
    <t>T00159</t>
  </si>
  <si>
    <t>T00196</t>
  </si>
  <si>
    <t>T00139</t>
  </si>
  <si>
    <t>T00125</t>
  </si>
  <si>
    <t>T00161</t>
  </si>
  <si>
    <t>T00201</t>
  </si>
  <si>
    <t>T00137</t>
  </si>
  <si>
    <t>T00192</t>
  </si>
  <si>
    <t>T00021</t>
  </si>
  <si>
    <t>T00204</t>
  </si>
  <si>
    <t>T00102</t>
  </si>
  <si>
    <t>T00160</t>
  </si>
  <si>
    <t>T00087</t>
  </si>
  <si>
    <t>T00068</t>
  </si>
  <si>
    <t>T00121</t>
  </si>
  <si>
    <t>T00020</t>
  </si>
  <si>
    <t>T00040</t>
  </si>
  <si>
    <t>T00168</t>
  </si>
  <si>
    <t>T00105</t>
  </si>
  <si>
    <t>T00037</t>
  </si>
  <si>
    <t>T00185</t>
  </si>
  <si>
    <t>T00004</t>
  </si>
  <si>
    <t>T00117</t>
  </si>
  <si>
    <t>T00135</t>
  </si>
  <si>
    <t>T00113</t>
  </si>
  <si>
    <t>T00026</t>
  </si>
  <si>
    <t>T00085</t>
  </si>
  <si>
    <t>T00152</t>
  </si>
  <si>
    <t>T00129</t>
  </si>
  <si>
    <t>T00033</t>
  </si>
  <si>
    <t>T00010</t>
  </si>
  <si>
    <t>T00127</t>
  </si>
  <si>
    <t>T00039</t>
  </si>
  <si>
    <t>T00167</t>
  </si>
  <si>
    <t>T00170</t>
  </si>
  <si>
    <t>T00099</t>
  </si>
  <si>
    <t>T00098</t>
  </si>
  <si>
    <t>T00181</t>
  </si>
  <si>
    <t>T00122</t>
  </si>
  <si>
    <t>T00191</t>
  </si>
  <si>
    <t>T00082</t>
  </si>
  <si>
    <t>T00012</t>
  </si>
  <si>
    <t>T00106</t>
  </si>
  <si>
    <t>T00199</t>
  </si>
  <si>
    <t>T00060</t>
  </si>
  <si>
    <t>TOTAL AMOUNT</t>
  </si>
  <si>
    <t>UNITS</t>
  </si>
  <si>
    <t>MEAN</t>
  </si>
  <si>
    <t>MEDIAN</t>
  </si>
  <si>
    <t>MODE</t>
  </si>
  <si>
    <t>RANGE</t>
  </si>
  <si>
    <t>SAMPLE VARIANCE</t>
  </si>
  <si>
    <t>Standard Deviation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</si>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</sst>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 applyAlignment="1"/>
    <xf numFmtId="2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 of Total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InstitutionalAssessment_transac!$G$1</c:f>
              <c:strCache>
                <c:ptCount val="1"/>
                <c:pt idx="0">
                  <c:v>total_amount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InstitutionalAssessment_transac!$G$2:$G$206</c:f>
              <c:numCache>
                <c:formatCode>General</c:formatCode>
                <c:ptCount val="205"/>
                <c:pt idx="0">
                  <c:v>88</c:v>
                </c:pt>
                <c:pt idx="1">
                  <c:v>2750</c:v>
                </c:pt>
                <c:pt idx="2">
                  <c:v>20</c:v>
                </c:pt>
                <c:pt idx="3">
                  <c:v>130</c:v>
                </c:pt>
                <c:pt idx="4">
                  <c:v>180</c:v>
                </c:pt>
                <c:pt idx="5">
                  <c:v>850</c:v>
                </c:pt>
                <c:pt idx="6">
                  <c:v>95</c:v>
                </c:pt>
                <c:pt idx="7">
                  <c:v>30</c:v>
                </c:pt>
                <c:pt idx="8">
                  <c:v>108</c:v>
                </c:pt>
                <c:pt idx="9">
                  <c:v>160</c:v>
                </c:pt>
                <c:pt idx="10">
                  <c:v>120</c:v>
                </c:pt>
                <c:pt idx="11">
                  <c:v>48</c:v>
                </c:pt>
                <c:pt idx="12">
                  <c:v>195</c:v>
                </c:pt>
                <c:pt idx="13">
                  <c:v>88</c:v>
                </c:pt>
                <c:pt idx="14">
                  <c:v>36</c:v>
                </c:pt>
                <c:pt idx="15">
                  <c:v>162</c:v>
                </c:pt>
                <c:pt idx="16">
                  <c:v>990</c:v>
                </c:pt>
                <c:pt idx="17">
                  <c:v>455</c:v>
                </c:pt>
                <c:pt idx="18">
                  <c:v>270</c:v>
                </c:pt>
                <c:pt idx="19">
                  <c:v>100</c:v>
                </c:pt>
                <c:pt idx="20">
                  <c:v>190</c:v>
                </c:pt>
                <c:pt idx="21">
                  <c:v>190</c:v>
                </c:pt>
                <c:pt idx="22">
                  <c:v>45</c:v>
                </c:pt>
                <c:pt idx="23">
                  <c:v>50</c:v>
                </c:pt>
                <c:pt idx="24">
                  <c:v>75</c:v>
                </c:pt>
                <c:pt idx="25">
                  <c:v>168</c:v>
                </c:pt>
                <c:pt idx="26">
                  <c:v>220</c:v>
                </c:pt>
                <c:pt idx="27">
                  <c:v>650</c:v>
                </c:pt>
                <c:pt idx="28">
                  <c:v>56</c:v>
                </c:pt>
                <c:pt idx="29">
                  <c:v>72</c:v>
                </c:pt>
                <c:pt idx="30">
                  <c:v>120</c:v>
                </c:pt>
                <c:pt idx="31">
                  <c:v>96</c:v>
                </c:pt>
                <c:pt idx="32">
                  <c:v>15</c:v>
                </c:pt>
                <c:pt idx="33">
                  <c:v>180</c:v>
                </c:pt>
                <c:pt idx="34">
                  <c:v>2750</c:v>
                </c:pt>
                <c:pt idx="35">
                  <c:v>570</c:v>
                </c:pt>
                <c:pt idx="36">
                  <c:v>45</c:v>
                </c:pt>
                <c:pt idx="37">
                  <c:v>18</c:v>
                </c:pt>
                <c:pt idx="38">
                  <c:v>475</c:v>
                </c:pt>
                <c:pt idx="39">
                  <c:v>765</c:v>
                </c:pt>
                <c:pt idx="40">
                  <c:v>30</c:v>
                </c:pt>
                <c:pt idx="41">
                  <c:v>70</c:v>
                </c:pt>
                <c:pt idx="42">
                  <c:v>280</c:v>
                </c:pt>
                <c:pt idx="43">
                  <c:v>680</c:v>
                </c:pt>
                <c:pt idx="44">
                  <c:v>196</c:v>
                </c:pt>
                <c:pt idx="45">
                  <c:v>60</c:v>
                </c:pt>
                <c:pt idx="46">
                  <c:v>80</c:v>
                </c:pt>
                <c:pt idx="47">
                  <c:v>110</c:v>
                </c:pt>
                <c:pt idx="48">
                  <c:v>40</c:v>
                </c:pt>
                <c:pt idx="49">
                  <c:v>285</c:v>
                </c:pt>
                <c:pt idx="50">
                  <c:v>112</c:v>
                </c:pt>
                <c:pt idx="51">
                  <c:v>210</c:v>
                </c:pt>
                <c:pt idx="52">
                  <c:v>45</c:v>
                </c:pt>
                <c:pt idx="53">
                  <c:v>100</c:v>
                </c:pt>
                <c:pt idx="54">
                  <c:v>220</c:v>
                </c:pt>
                <c:pt idx="55">
                  <c:v>765</c:v>
                </c:pt>
                <c:pt idx="56">
                  <c:v>30</c:v>
                </c:pt>
                <c:pt idx="57">
                  <c:v>24</c:v>
                </c:pt>
                <c:pt idx="58">
                  <c:v>150</c:v>
                </c:pt>
                <c:pt idx="59">
                  <c:v>285</c:v>
                </c:pt>
                <c:pt idx="60">
                  <c:v>108</c:v>
                </c:pt>
                <c:pt idx="61">
                  <c:v>140</c:v>
                </c:pt>
                <c:pt idx="62">
                  <c:v>275</c:v>
                </c:pt>
                <c:pt idx="63">
                  <c:v>154</c:v>
                </c:pt>
                <c:pt idx="64">
                  <c:v>15</c:v>
                </c:pt>
                <c:pt idx="65">
                  <c:v>770</c:v>
                </c:pt>
                <c:pt idx="66">
                  <c:v>75</c:v>
                </c:pt>
                <c:pt idx="67">
                  <c:v>225</c:v>
                </c:pt>
                <c:pt idx="68">
                  <c:v>440</c:v>
                </c:pt>
                <c:pt idx="69">
                  <c:v>90</c:v>
                </c:pt>
                <c:pt idx="70">
                  <c:v>510</c:v>
                </c:pt>
                <c:pt idx="71">
                  <c:v>270</c:v>
                </c:pt>
                <c:pt idx="72">
                  <c:v>275</c:v>
                </c:pt>
                <c:pt idx="73">
                  <c:v>225</c:v>
                </c:pt>
                <c:pt idx="74">
                  <c:v>24</c:v>
                </c:pt>
                <c:pt idx="75">
                  <c:v>224</c:v>
                </c:pt>
                <c:pt idx="76">
                  <c:v>450</c:v>
                </c:pt>
                <c:pt idx="77">
                  <c:v>90</c:v>
                </c:pt>
                <c:pt idx="78">
                  <c:v>275</c:v>
                </c:pt>
                <c:pt idx="79">
                  <c:v>990</c:v>
                </c:pt>
                <c:pt idx="80">
                  <c:v>90</c:v>
                </c:pt>
                <c:pt idx="81">
                  <c:v>225</c:v>
                </c:pt>
                <c:pt idx="82">
                  <c:v>56</c:v>
                </c:pt>
                <c:pt idx="83">
                  <c:v>10</c:v>
                </c:pt>
                <c:pt idx="84">
                  <c:v>825</c:v>
                </c:pt>
                <c:pt idx="85">
                  <c:v>425</c:v>
                </c:pt>
                <c:pt idx="86">
                  <c:v>112</c:v>
                </c:pt>
                <c:pt idx="87">
                  <c:v>340</c:v>
                </c:pt>
                <c:pt idx="88">
                  <c:v>60</c:v>
                </c:pt>
                <c:pt idx="89">
                  <c:v>455</c:v>
                </c:pt>
                <c:pt idx="90">
                  <c:v>85</c:v>
                </c:pt>
                <c:pt idx="91">
                  <c:v>770</c:v>
                </c:pt>
                <c:pt idx="92">
                  <c:v>126</c:v>
                </c:pt>
                <c:pt idx="93">
                  <c:v>75</c:v>
                </c:pt>
                <c:pt idx="94">
                  <c:v>270</c:v>
                </c:pt>
                <c:pt idx="95">
                  <c:v>20</c:v>
                </c:pt>
                <c:pt idx="96">
                  <c:v>150</c:v>
                </c:pt>
                <c:pt idx="97">
                  <c:v>380</c:v>
                </c:pt>
                <c:pt idx="98">
                  <c:v>650</c:v>
                </c:pt>
                <c:pt idx="99">
                  <c:v>60</c:v>
                </c:pt>
                <c:pt idx="100">
                  <c:v>405</c:v>
                </c:pt>
                <c:pt idx="101">
                  <c:v>18</c:v>
                </c:pt>
                <c:pt idx="102">
                  <c:v>80</c:v>
                </c:pt>
                <c:pt idx="103">
                  <c:v>585</c:v>
                </c:pt>
                <c:pt idx="104">
                  <c:v>110</c:v>
                </c:pt>
                <c:pt idx="105">
                  <c:v>585</c:v>
                </c:pt>
                <c:pt idx="106">
                  <c:v>60</c:v>
                </c:pt>
                <c:pt idx="107">
                  <c:v>36</c:v>
                </c:pt>
                <c:pt idx="108">
                  <c:v>100</c:v>
                </c:pt>
                <c:pt idx="109">
                  <c:v>96</c:v>
                </c:pt>
                <c:pt idx="110">
                  <c:v>585</c:v>
                </c:pt>
                <c:pt idx="111">
                  <c:v>510</c:v>
                </c:pt>
                <c:pt idx="112">
                  <c:v>28</c:v>
                </c:pt>
                <c:pt idx="113">
                  <c:v>220</c:v>
                </c:pt>
                <c:pt idx="114">
                  <c:v>45</c:v>
                </c:pt>
                <c:pt idx="115">
                  <c:v>162</c:v>
                </c:pt>
                <c:pt idx="116">
                  <c:v>100</c:v>
                </c:pt>
                <c:pt idx="117">
                  <c:v>200</c:v>
                </c:pt>
                <c:pt idx="118">
                  <c:v>880</c:v>
                </c:pt>
                <c:pt idx="119">
                  <c:v>240</c:v>
                </c:pt>
                <c:pt idx="120">
                  <c:v>90</c:v>
                </c:pt>
                <c:pt idx="121">
                  <c:v>252</c:v>
                </c:pt>
                <c:pt idx="122">
                  <c:v>44</c:v>
                </c:pt>
                <c:pt idx="123">
                  <c:v>1650</c:v>
                </c:pt>
                <c:pt idx="124">
                  <c:v>60</c:v>
                </c:pt>
                <c:pt idx="125">
                  <c:v>650</c:v>
                </c:pt>
                <c:pt idx="126">
                  <c:v>825</c:v>
                </c:pt>
                <c:pt idx="127">
                  <c:v>50</c:v>
                </c:pt>
                <c:pt idx="129">
                  <c:v>475</c:v>
                </c:pt>
                <c:pt idx="130">
                  <c:v>12</c:v>
                </c:pt>
                <c:pt idx="131">
                  <c:v>140</c:v>
                </c:pt>
                <c:pt idx="132">
                  <c:v>44</c:v>
                </c:pt>
                <c:pt idx="133">
                  <c:v>110</c:v>
                </c:pt>
                <c:pt idx="134">
                  <c:v>510</c:v>
                </c:pt>
                <c:pt idx="135">
                  <c:v>84</c:v>
                </c:pt>
                <c:pt idx="136">
                  <c:v>56</c:v>
                </c:pt>
                <c:pt idx="138">
                  <c:v>30</c:v>
                </c:pt>
                <c:pt idx="139">
                  <c:v>1925</c:v>
                </c:pt>
                <c:pt idx="140">
                  <c:v>190</c:v>
                </c:pt>
                <c:pt idx="141">
                  <c:v>75</c:v>
                </c:pt>
                <c:pt idx="142">
                  <c:v>595</c:v>
                </c:pt>
                <c:pt idx="143">
                  <c:v>180</c:v>
                </c:pt>
                <c:pt idx="144">
                  <c:v>198</c:v>
                </c:pt>
                <c:pt idx="145">
                  <c:v>150</c:v>
                </c:pt>
                <c:pt idx="146">
                  <c:v>50</c:v>
                </c:pt>
                <c:pt idx="148">
                  <c:v>105</c:v>
                </c:pt>
                <c:pt idx="149">
                  <c:v>154</c:v>
                </c:pt>
                <c:pt idx="150">
                  <c:v>220</c:v>
                </c:pt>
                <c:pt idx="151">
                  <c:v>45</c:v>
                </c:pt>
                <c:pt idx="152">
                  <c:v>220</c:v>
                </c:pt>
                <c:pt idx="153">
                  <c:v>140</c:v>
                </c:pt>
                <c:pt idx="154">
                  <c:v>75</c:v>
                </c:pt>
                <c:pt idx="155">
                  <c:v>140</c:v>
                </c:pt>
                <c:pt idx="156">
                  <c:v>150</c:v>
                </c:pt>
                <c:pt idx="157">
                  <c:v>110</c:v>
                </c:pt>
                <c:pt idx="158">
                  <c:v>100</c:v>
                </c:pt>
                <c:pt idx="159">
                  <c:v>196</c:v>
                </c:pt>
                <c:pt idx="160">
                  <c:v>110</c:v>
                </c:pt>
                <c:pt idx="161">
                  <c:v>144</c:v>
                </c:pt>
                <c:pt idx="162">
                  <c:v>28</c:v>
                </c:pt>
                <c:pt idx="163">
                  <c:v>285</c:v>
                </c:pt>
                <c:pt idx="164">
                  <c:v>650</c:v>
                </c:pt>
                <c:pt idx="166">
                  <c:v>180</c:v>
                </c:pt>
                <c:pt idx="167">
                  <c:v>95</c:v>
                </c:pt>
                <c:pt idx="168">
                  <c:v>2750</c:v>
                </c:pt>
                <c:pt idx="170">
                  <c:v>60</c:v>
                </c:pt>
                <c:pt idx="171">
                  <c:v>330</c:v>
                </c:pt>
                <c:pt idx="172">
                  <c:v>28</c:v>
                </c:pt>
                <c:pt idx="173">
                  <c:v>1100</c:v>
                </c:pt>
                <c:pt idx="174">
                  <c:v>12</c:v>
                </c:pt>
                <c:pt idx="175">
                  <c:v>285</c:v>
                </c:pt>
                <c:pt idx="176">
                  <c:v>15</c:v>
                </c:pt>
                <c:pt idx="177">
                  <c:v>1100</c:v>
                </c:pt>
                <c:pt idx="178">
                  <c:v>210</c:v>
                </c:pt>
                <c:pt idx="179">
                  <c:v>770</c:v>
                </c:pt>
                <c:pt idx="180">
                  <c:v>24</c:v>
                </c:pt>
                <c:pt idx="181">
                  <c:v>135</c:v>
                </c:pt>
                <c:pt idx="182">
                  <c:v>210</c:v>
                </c:pt>
                <c:pt idx="183">
                  <c:v>315</c:v>
                </c:pt>
                <c:pt idx="184">
                  <c:v>440</c:v>
                </c:pt>
                <c:pt idx="185">
                  <c:v>130</c:v>
                </c:pt>
                <c:pt idx="186">
                  <c:v>210</c:v>
                </c:pt>
                <c:pt idx="187">
                  <c:v>80</c:v>
                </c:pt>
                <c:pt idx="188">
                  <c:v>30</c:v>
                </c:pt>
                <c:pt idx="189">
                  <c:v>150</c:v>
                </c:pt>
                <c:pt idx="190">
                  <c:v>90</c:v>
                </c:pt>
                <c:pt idx="191">
                  <c:v>225</c:v>
                </c:pt>
                <c:pt idx="192">
                  <c:v>28</c:v>
                </c:pt>
                <c:pt idx="193">
                  <c:v>135</c:v>
                </c:pt>
                <c:pt idx="194">
                  <c:v>150</c:v>
                </c:pt>
                <c:pt idx="195">
                  <c:v>224</c:v>
                </c:pt>
                <c:pt idx="196">
                  <c:v>440</c:v>
                </c:pt>
                <c:pt idx="197">
                  <c:v>280</c:v>
                </c:pt>
                <c:pt idx="198">
                  <c:v>135</c:v>
                </c:pt>
                <c:pt idx="199">
                  <c:v>270</c:v>
                </c:pt>
                <c:pt idx="200">
                  <c:v>75</c:v>
                </c:pt>
                <c:pt idx="201">
                  <c:v>75</c:v>
                </c:pt>
                <c:pt idx="202">
                  <c:v>22</c:v>
                </c:pt>
                <c:pt idx="203">
                  <c:v>154</c:v>
                </c:pt>
                <c:pt idx="20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0-415E-BF87-B2E44B5C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488794880"/>
        <c:axId val="488791136"/>
        <c:axId val="0"/>
      </c:bar3DChart>
      <c:catAx>
        <c:axId val="488794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791136"/>
        <c:crosses val="autoZero"/>
        <c:auto val="1"/>
        <c:lblAlgn val="ctr"/>
        <c:lblOffset val="100"/>
        <c:noMultiLvlLbl val="0"/>
      </c:catAx>
      <c:valAx>
        <c:axId val="48879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79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590549</xdr:colOff>
      <xdr:row>14</xdr:row>
      <xdr:rowOff>119062</xdr:rowOff>
    </xdr:from>
    <xdr:to>
      <xdr:col>14</xdr:col>
      <xdr:colOff>219074</xdr:colOff>
      <xdr:row>29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4460DB-8764-4EC2-BF3A-5BC166FAD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200024</xdr:colOff>
      <xdr:row>31</xdr:row>
      <xdr:rowOff>52387</xdr:rowOff>
    </xdr:from>
    <xdr:to>
      <xdr:col>14</xdr:col>
      <xdr:colOff>438149</xdr:colOff>
      <xdr:row>38</xdr:row>
      <xdr:rowOff>133350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FF08AF3-89D1-4A70-B578-3B77785E487C}"/>
            </a:ext>
          </a:extLst>
        </xdr:cNvPr>
        <xdr:cNvSpPr txBox="1"/>
      </xdr:nvSpPr>
      <xdr:spPr>
        <a:xfrm>
          <a:off x="6515099" y="5957887"/>
          <a:ext cx="6105525" cy="14144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mean total transaction amount is approximately ₱278.55, while the median is ₱150.00. Since the mean is considerably higher than the median, the data appears to be positively skewed, which suggests that a few high-value transactions are increasing the average sales amount. The standard deviation of approximately ₱414.27 and the range of ₱2,740.00 indicate a wide spread in transaction values, showing substantial variability in sales. The quartiles (Q1 = ₱75.00, Q2 = ₱150.00, and Q3 = ₱280.00) indicate that the middle 50% of transactions fall between ₱75.00 and ₱280.00, where most sales activity is concentrated.</a:t>
          </a:r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03A27C-4FB2-4DC6-9196-6C831E1F5824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2" name="date" tableColumnId="2"/>
      <queryTableField id="3" name="store_id" tableColumnId="3"/>
      <queryTableField id="4" name="product_id" tableColumnId="4"/>
      <queryTableField id="5" name="units" tableColumnId="5"/>
      <queryTableField id="6" name="unit_price" tableColumnId="6"/>
      <queryTableField id="7" name="total_amou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010263-317A-49B2-8DF6-78CC68C2198B}" name="InstitutionalAssessment_transactions" displayName="InstitutionalAssessment_transactions" ref="A1:G206" tableType="queryTable" totalsRowShown="0">
  <autoFilter ref="A1:G206" xr:uid="{50010263-317A-49B2-8DF6-78CC68C2198B}"/>
  <tableColumns count="7">
    <tableColumn id="1" xr3:uid="{8C808AF1-DCCE-4D60-8802-5FBB90F6280C}" uniqueName="1" name="transaction_id" queryTableFieldId="1" dataDxfId="3"/>
    <tableColumn id="2" xr3:uid="{CF8867DE-CF10-48BE-93D8-E0EBFE1F9701}" uniqueName="2" name="date" queryTableFieldId="2" dataDxfId="2"/>
    <tableColumn id="3" xr3:uid="{7DC0F282-3A73-4142-9197-7F8397840BAF}" uniqueName="3" name="store_id" queryTableFieldId="3" dataDxfId="1"/>
    <tableColumn id="4" xr3:uid="{86009F98-4BE6-484A-A2D1-D3B74AD4F086}" uniqueName="4" name="product_id" queryTableFieldId="4" dataDxfId="0"/>
    <tableColumn id="5" xr3:uid="{12551D9F-358A-4212-8E00-B1561E0E9547}" uniqueName="5" name="units" queryTableFieldId="5"/>
    <tableColumn id="6" xr3:uid="{980788A8-891E-4FD6-96DB-820BE4EB5211}" uniqueName="6" name="unit_price" queryTableFieldId="6"/>
    <tableColumn id="7" xr3:uid="{B6BBC607-5F80-4F63-B9E0-2B5222073EC2}" uniqueName="7" name="total_amou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CBF7-F5C5-450A-917A-DEC5603D81B5}">
  <dimension ref="A1:L206"/>
  <sheetViews>
    <sheetView tabSelected="1" topLeftCell="B1" zoomScaleNormal="100" workbookViewId="0">
      <selection activeCell="L10" sqref="L10"/>
    </sheetView>
  </sheetViews>
  <sheetFormatPr defaultRowHeight="15" x14ac:dyDescent="0.25"/>
  <cols>
    <col min="1" max="1" width="16" bestFit="1" customWidth="1"/>
    <col min="2" max="2" width="10.7109375" bestFit="1" customWidth="1"/>
    <col min="3" max="3" width="10.5703125" bestFit="1" customWidth="1"/>
    <col min="4" max="4" width="12.85546875" bestFit="1" customWidth="1"/>
    <col min="5" max="5" width="7.7109375" bestFit="1" customWidth="1"/>
    <col min="6" max="6" width="12.28515625" bestFit="1" customWidth="1"/>
    <col min="7" max="7" width="15.42578125" bestFit="1" customWidth="1"/>
    <col min="9" max="9" width="20.5703125" customWidth="1"/>
    <col min="10" max="10" width="18.42578125" customWidth="1"/>
    <col min="11" max="11" width="16" customWidth="1"/>
    <col min="12" max="12" width="14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 t="s">
        <v>234</v>
      </c>
      <c r="L1" t="s">
        <v>235</v>
      </c>
    </row>
    <row r="2" spans="1:12" x14ac:dyDescent="0.25">
      <c r="A2" s="1" t="s">
        <v>7</v>
      </c>
      <c r="B2" s="2">
        <v>45690</v>
      </c>
      <c r="C2" s="1" t="s">
        <v>8</v>
      </c>
      <c r="D2" s="1" t="s">
        <v>9</v>
      </c>
      <c r="E2">
        <v>4</v>
      </c>
      <c r="F2">
        <v>22</v>
      </c>
      <c r="G2">
        <v>88</v>
      </c>
      <c r="J2" t="s">
        <v>236</v>
      </c>
      <c r="K2" s="3">
        <f>AVERAGE(G2:G206)</f>
        <v>278.55</v>
      </c>
      <c r="L2" s="4">
        <f>AVERAGE(E2:E206)</f>
        <v>5.51</v>
      </c>
    </row>
    <row r="3" spans="1:12" x14ac:dyDescent="0.25">
      <c r="A3" s="1" t="s">
        <v>10</v>
      </c>
      <c r="B3" s="2">
        <v>45933</v>
      </c>
      <c r="C3" s="1" t="s">
        <v>11</v>
      </c>
      <c r="D3" s="1" t="s">
        <v>12</v>
      </c>
      <c r="E3">
        <v>10</v>
      </c>
      <c r="F3">
        <v>275</v>
      </c>
      <c r="G3">
        <v>2750</v>
      </c>
      <c r="J3" t="s">
        <v>237</v>
      </c>
      <c r="K3">
        <f>MEDIAN(G2:G206)</f>
        <v>150</v>
      </c>
      <c r="L3">
        <f>MEDIAN(E2:E206)</f>
        <v>5</v>
      </c>
    </row>
    <row r="4" spans="1:12" x14ac:dyDescent="0.25">
      <c r="A4" s="1" t="s">
        <v>13</v>
      </c>
      <c r="B4" s="2">
        <v>45918</v>
      </c>
      <c r="C4" s="1" t="s">
        <v>8</v>
      </c>
      <c r="D4" s="1" t="s">
        <v>14</v>
      </c>
      <c r="E4">
        <v>1</v>
      </c>
      <c r="F4">
        <v>20</v>
      </c>
      <c r="G4">
        <v>20</v>
      </c>
      <c r="J4" t="s">
        <v>238</v>
      </c>
      <c r="K4">
        <f>_xlfn.MODE.SNGL(G2:G206)</f>
        <v>75</v>
      </c>
      <c r="L4">
        <f>_xlfn.MODE.SNGL(E2:E206)</f>
        <v>10</v>
      </c>
    </row>
    <row r="5" spans="1:12" x14ac:dyDescent="0.25">
      <c r="A5" s="1" t="s">
        <v>15</v>
      </c>
      <c r="B5" s="2">
        <v>45987</v>
      </c>
      <c r="C5" s="1" t="s">
        <v>11</v>
      </c>
      <c r="D5" s="1" t="s">
        <v>16</v>
      </c>
      <c r="E5">
        <v>2</v>
      </c>
      <c r="F5">
        <v>65</v>
      </c>
      <c r="G5">
        <v>130</v>
      </c>
    </row>
    <row r="6" spans="1:12" x14ac:dyDescent="0.25">
      <c r="A6" s="1" t="s">
        <v>17</v>
      </c>
      <c r="B6" s="2">
        <v>45895</v>
      </c>
      <c r="C6" s="1" t="s">
        <v>18</v>
      </c>
      <c r="D6" s="1" t="s">
        <v>14</v>
      </c>
      <c r="E6">
        <v>9</v>
      </c>
      <c r="F6">
        <v>20</v>
      </c>
      <c r="G6">
        <v>180</v>
      </c>
      <c r="J6" t="s">
        <v>239</v>
      </c>
      <c r="K6">
        <f>MAX(G2:G206)-MIN(G2:G206)</f>
        <v>2740</v>
      </c>
    </row>
    <row r="7" spans="1:12" x14ac:dyDescent="0.25">
      <c r="A7" s="1" t="s">
        <v>19</v>
      </c>
      <c r="B7" s="2">
        <v>45795</v>
      </c>
      <c r="C7" s="1" t="s">
        <v>8</v>
      </c>
      <c r="D7" s="1" t="s">
        <v>20</v>
      </c>
      <c r="E7">
        <v>10</v>
      </c>
      <c r="F7">
        <v>85</v>
      </c>
      <c r="G7">
        <v>850</v>
      </c>
      <c r="J7" t="s">
        <v>240</v>
      </c>
      <c r="K7" s="4">
        <f>_xlfn.VAR.S(G2:G206)</f>
        <v>171623.76633165829</v>
      </c>
    </row>
    <row r="8" spans="1:12" x14ac:dyDescent="0.25">
      <c r="A8" s="1" t="s">
        <v>21</v>
      </c>
      <c r="B8" s="2">
        <v>45792</v>
      </c>
      <c r="C8" s="1" t="s">
        <v>18</v>
      </c>
      <c r="D8" s="1" t="s">
        <v>22</v>
      </c>
      <c r="E8">
        <v>1</v>
      </c>
      <c r="F8">
        <v>95</v>
      </c>
      <c r="G8">
        <v>95</v>
      </c>
      <c r="J8" t="s">
        <v>241</v>
      </c>
      <c r="K8" s="4">
        <f>_xlfn.STDEV.S(G2:G1000)</f>
        <v>414.27498878360768</v>
      </c>
    </row>
    <row r="9" spans="1:12" x14ac:dyDescent="0.25">
      <c r="A9" s="1" t="s">
        <v>23</v>
      </c>
      <c r="B9" s="2">
        <v>45839</v>
      </c>
      <c r="C9" s="1" t="s">
        <v>11</v>
      </c>
      <c r="D9" s="1" t="s">
        <v>24</v>
      </c>
      <c r="E9">
        <v>2</v>
      </c>
      <c r="F9">
        <v>15</v>
      </c>
      <c r="G9">
        <v>30</v>
      </c>
    </row>
    <row r="10" spans="1:12" x14ac:dyDescent="0.25">
      <c r="A10" s="1" t="s">
        <v>25</v>
      </c>
      <c r="B10" s="2">
        <v>45815</v>
      </c>
      <c r="C10" s="1" t="s">
        <v>26</v>
      </c>
      <c r="D10" s="1" t="s">
        <v>27</v>
      </c>
      <c r="E10">
        <v>6</v>
      </c>
      <c r="F10">
        <v>18</v>
      </c>
      <c r="G10">
        <v>108</v>
      </c>
      <c r="J10" t="s">
        <v>242</v>
      </c>
      <c r="K10">
        <f>_xlfn.QUARTILE.INC(G2:G206,1)</f>
        <v>75</v>
      </c>
    </row>
    <row r="11" spans="1:12" x14ac:dyDescent="0.25">
      <c r="A11" s="1" t="s">
        <v>28</v>
      </c>
      <c r="B11" s="2">
        <v>45766</v>
      </c>
      <c r="C11" s="1" t="s">
        <v>29</v>
      </c>
      <c r="D11" s="1" t="s">
        <v>14</v>
      </c>
      <c r="E11">
        <v>8</v>
      </c>
      <c r="F11">
        <v>20</v>
      </c>
      <c r="G11">
        <v>160</v>
      </c>
      <c r="J11" t="s">
        <v>243</v>
      </c>
      <c r="K11">
        <f>_xlfn.QUARTILE.INC(G2:G206,2)</f>
        <v>150</v>
      </c>
    </row>
    <row r="12" spans="1:12" x14ac:dyDescent="0.25">
      <c r="A12" s="1" t="s">
        <v>30</v>
      </c>
      <c r="B12" s="2">
        <v>45770</v>
      </c>
      <c r="C12" s="1" t="s">
        <v>31</v>
      </c>
      <c r="D12" s="1" t="s">
        <v>24</v>
      </c>
      <c r="E12">
        <v>8</v>
      </c>
      <c r="F12">
        <v>15</v>
      </c>
      <c r="G12">
        <v>120</v>
      </c>
      <c r="J12" t="s">
        <v>244</v>
      </c>
      <c r="K12">
        <f>_xlfn.QUARTILE.INC(G2:G206,3)</f>
        <v>280</v>
      </c>
    </row>
    <row r="13" spans="1:12" x14ac:dyDescent="0.25">
      <c r="A13" s="1" t="s">
        <v>32</v>
      </c>
      <c r="B13" s="2">
        <v>45863</v>
      </c>
      <c r="C13" s="1" t="s">
        <v>8</v>
      </c>
      <c r="D13" s="1" t="s">
        <v>33</v>
      </c>
      <c r="E13">
        <v>4</v>
      </c>
      <c r="F13">
        <v>12</v>
      </c>
      <c r="G13">
        <v>48</v>
      </c>
    </row>
    <row r="14" spans="1:12" x14ac:dyDescent="0.25">
      <c r="A14" s="1" t="s">
        <v>34</v>
      </c>
      <c r="B14" s="2">
        <v>45828</v>
      </c>
      <c r="C14" s="1" t="s">
        <v>8</v>
      </c>
      <c r="D14" s="1" t="s">
        <v>16</v>
      </c>
      <c r="E14">
        <v>3</v>
      </c>
      <c r="F14">
        <v>65</v>
      </c>
      <c r="G14">
        <v>195</v>
      </c>
    </row>
    <row r="15" spans="1:12" x14ac:dyDescent="0.25">
      <c r="A15" s="1" t="s">
        <v>35</v>
      </c>
      <c r="B15" s="2">
        <v>45741</v>
      </c>
      <c r="C15" s="1" t="s">
        <v>8</v>
      </c>
      <c r="D15" s="1" t="s">
        <v>9</v>
      </c>
      <c r="E15">
        <v>4</v>
      </c>
      <c r="F15">
        <v>22</v>
      </c>
      <c r="G15">
        <v>88</v>
      </c>
    </row>
    <row r="16" spans="1:12" x14ac:dyDescent="0.25">
      <c r="A16" s="1" t="s">
        <v>36</v>
      </c>
      <c r="B16" s="2">
        <v>45933</v>
      </c>
      <c r="C16" s="1" t="s">
        <v>31</v>
      </c>
      <c r="D16" s="1" t="s">
        <v>27</v>
      </c>
      <c r="E16">
        <v>2</v>
      </c>
      <c r="F16">
        <v>18</v>
      </c>
      <c r="G16">
        <v>36</v>
      </c>
    </row>
    <row r="17" spans="1:7" x14ac:dyDescent="0.25">
      <c r="A17" s="1" t="s">
        <v>37</v>
      </c>
      <c r="B17" s="2">
        <v>45871</v>
      </c>
      <c r="C17" s="1" t="s">
        <v>18</v>
      </c>
      <c r="D17" s="1" t="s">
        <v>27</v>
      </c>
      <c r="E17">
        <v>9</v>
      </c>
      <c r="F17">
        <v>18</v>
      </c>
      <c r="G17">
        <v>162</v>
      </c>
    </row>
    <row r="18" spans="1:7" x14ac:dyDescent="0.25">
      <c r="A18" s="1" t="s">
        <v>38</v>
      </c>
      <c r="B18" s="2">
        <v>45816</v>
      </c>
      <c r="C18" s="1" t="s">
        <v>11</v>
      </c>
      <c r="D18" s="1" t="s">
        <v>39</v>
      </c>
      <c r="E18">
        <v>9</v>
      </c>
      <c r="F18">
        <v>110</v>
      </c>
      <c r="G18">
        <v>990</v>
      </c>
    </row>
    <row r="19" spans="1:7" x14ac:dyDescent="0.25">
      <c r="A19" s="1" t="s">
        <v>40</v>
      </c>
      <c r="B19" s="2">
        <v>45961</v>
      </c>
      <c r="C19" s="1" t="s">
        <v>31</v>
      </c>
      <c r="D19" s="1" t="s">
        <v>16</v>
      </c>
      <c r="E19">
        <v>7</v>
      </c>
      <c r="F19">
        <v>65</v>
      </c>
      <c r="G19">
        <v>455</v>
      </c>
    </row>
    <row r="20" spans="1:7" x14ac:dyDescent="0.25">
      <c r="A20" s="1" t="s">
        <v>41</v>
      </c>
      <c r="B20" s="2">
        <v>45672</v>
      </c>
      <c r="C20" s="1" t="s">
        <v>8</v>
      </c>
      <c r="D20" s="1" t="s">
        <v>42</v>
      </c>
      <c r="E20">
        <v>6</v>
      </c>
      <c r="F20">
        <v>45</v>
      </c>
      <c r="G20">
        <v>270</v>
      </c>
    </row>
    <row r="21" spans="1:7" x14ac:dyDescent="0.25">
      <c r="A21" s="1" t="s">
        <v>43</v>
      </c>
      <c r="B21" s="2">
        <v>45935</v>
      </c>
      <c r="C21" s="1" t="s">
        <v>18</v>
      </c>
      <c r="D21" s="1" t="s">
        <v>44</v>
      </c>
      <c r="E21">
        <v>10</v>
      </c>
      <c r="F21">
        <v>10</v>
      </c>
      <c r="G21">
        <v>100</v>
      </c>
    </row>
    <row r="22" spans="1:7" x14ac:dyDescent="0.25">
      <c r="A22" s="1" t="s">
        <v>45</v>
      </c>
      <c r="B22" s="2">
        <v>45964</v>
      </c>
      <c r="C22" s="1" t="s">
        <v>8</v>
      </c>
      <c r="D22" s="1" t="s">
        <v>22</v>
      </c>
      <c r="E22">
        <v>2</v>
      </c>
      <c r="F22">
        <v>95</v>
      </c>
      <c r="G22">
        <v>190</v>
      </c>
    </row>
    <row r="23" spans="1:7" x14ac:dyDescent="0.25">
      <c r="A23" s="1" t="s">
        <v>46</v>
      </c>
      <c r="B23" s="2">
        <v>45897</v>
      </c>
      <c r="C23" s="1" t="s">
        <v>29</v>
      </c>
      <c r="D23" s="1" t="s">
        <v>22</v>
      </c>
      <c r="E23">
        <v>2</v>
      </c>
      <c r="F23">
        <v>95</v>
      </c>
      <c r="G23">
        <v>190</v>
      </c>
    </row>
    <row r="24" spans="1:7" x14ac:dyDescent="0.25">
      <c r="A24" s="1" t="s">
        <v>47</v>
      </c>
      <c r="B24" s="2">
        <v>45894</v>
      </c>
      <c r="C24" s="1" t="s">
        <v>31</v>
      </c>
      <c r="D24" s="1" t="s">
        <v>24</v>
      </c>
      <c r="E24">
        <v>3</v>
      </c>
      <c r="F24">
        <v>15</v>
      </c>
      <c r="G24">
        <v>45</v>
      </c>
    </row>
    <row r="25" spans="1:7" x14ac:dyDescent="0.25">
      <c r="A25" s="1" t="s">
        <v>48</v>
      </c>
      <c r="B25" s="2">
        <v>45738</v>
      </c>
      <c r="C25" s="1" t="s">
        <v>18</v>
      </c>
      <c r="D25" s="1" t="s">
        <v>49</v>
      </c>
      <c r="E25">
        <v>5</v>
      </c>
      <c r="F25">
        <v>10</v>
      </c>
      <c r="G25">
        <v>50</v>
      </c>
    </row>
    <row r="26" spans="1:7" x14ac:dyDescent="0.25">
      <c r="A26" s="1" t="s">
        <v>50</v>
      </c>
      <c r="B26" s="2">
        <v>45921</v>
      </c>
      <c r="C26" s="1" t="s">
        <v>11</v>
      </c>
      <c r="D26" s="1" t="s">
        <v>51</v>
      </c>
      <c r="E26">
        <v>5</v>
      </c>
      <c r="F26">
        <v>15</v>
      </c>
      <c r="G26">
        <v>75</v>
      </c>
    </row>
    <row r="27" spans="1:7" x14ac:dyDescent="0.25">
      <c r="A27" s="1" t="s">
        <v>52</v>
      </c>
      <c r="B27" s="2">
        <v>46001</v>
      </c>
      <c r="C27" s="1" t="s">
        <v>8</v>
      </c>
      <c r="D27" s="1" t="s">
        <v>53</v>
      </c>
      <c r="E27">
        <v>6</v>
      </c>
      <c r="F27">
        <v>28</v>
      </c>
      <c r="G27">
        <v>168</v>
      </c>
    </row>
    <row r="28" spans="1:7" x14ac:dyDescent="0.25">
      <c r="A28" s="1" t="s">
        <v>54</v>
      </c>
      <c r="B28" s="2">
        <v>45726</v>
      </c>
      <c r="C28" s="1" t="s">
        <v>26</v>
      </c>
      <c r="D28" s="1" t="s">
        <v>39</v>
      </c>
      <c r="E28">
        <v>2</v>
      </c>
      <c r="F28">
        <v>110</v>
      </c>
      <c r="G28">
        <v>220</v>
      </c>
    </row>
    <row r="29" spans="1:7" x14ac:dyDescent="0.25">
      <c r="A29" s="1" t="s">
        <v>55</v>
      </c>
      <c r="B29" s="2">
        <v>45780</v>
      </c>
      <c r="C29" s="1" t="s">
        <v>26</v>
      </c>
      <c r="D29" s="1" t="s">
        <v>16</v>
      </c>
      <c r="E29">
        <v>10</v>
      </c>
      <c r="F29">
        <v>65</v>
      </c>
      <c r="G29">
        <v>650</v>
      </c>
    </row>
    <row r="30" spans="1:7" x14ac:dyDescent="0.25">
      <c r="A30" s="1" t="s">
        <v>56</v>
      </c>
      <c r="B30" s="2">
        <v>45808</v>
      </c>
      <c r="C30" s="1" t="s">
        <v>29</v>
      </c>
      <c r="D30" s="1" t="s">
        <v>53</v>
      </c>
      <c r="E30">
        <v>2</v>
      </c>
      <c r="F30">
        <v>28</v>
      </c>
      <c r="G30">
        <v>56</v>
      </c>
    </row>
    <row r="31" spans="1:7" x14ac:dyDescent="0.25">
      <c r="A31" s="1" t="s">
        <v>57</v>
      </c>
      <c r="B31" s="2">
        <v>45819</v>
      </c>
      <c r="C31" s="1" t="s">
        <v>18</v>
      </c>
      <c r="D31" s="1" t="s">
        <v>27</v>
      </c>
      <c r="E31">
        <v>4</v>
      </c>
      <c r="F31">
        <v>18</v>
      </c>
      <c r="G31">
        <v>72</v>
      </c>
    </row>
    <row r="32" spans="1:7" x14ac:dyDescent="0.25">
      <c r="A32" s="1" t="s">
        <v>58</v>
      </c>
      <c r="B32" s="2">
        <v>45695</v>
      </c>
      <c r="C32" s="1" t="s">
        <v>18</v>
      </c>
      <c r="D32" s="1" t="s">
        <v>33</v>
      </c>
      <c r="E32">
        <v>10</v>
      </c>
      <c r="F32">
        <v>12</v>
      </c>
      <c r="G32">
        <v>120</v>
      </c>
    </row>
    <row r="33" spans="1:7" x14ac:dyDescent="0.25">
      <c r="A33" s="1" t="s">
        <v>59</v>
      </c>
      <c r="B33" s="2">
        <v>45887</v>
      </c>
      <c r="C33" s="1" t="s">
        <v>11</v>
      </c>
      <c r="D33" s="1" t="s">
        <v>33</v>
      </c>
      <c r="E33">
        <v>8</v>
      </c>
      <c r="F33">
        <v>12</v>
      </c>
      <c r="G33">
        <v>96</v>
      </c>
    </row>
    <row r="34" spans="1:7" x14ac:dyDescent="0.25">
      <c r="A34" s="1" t="s">
        <v>60</v>
      </c>
      <c r="B34" s="2">
        <v>45827</v>
      </c>
      <c r="C34" s="1" t="s">
        <v>18</v>
      </c>
      <c r="D34" s="1" t="s">
        <v>51</v>
      </c>
      <c r="E34">
        <v>1</v>
      </c>
      <c r="F34">
        <v>15</v>
      </c>
      <c r="G34">
        <v>15</v>
      </c>
    </row>
    <row r="35" spans="1:7" x14ac:dyDescent="0.25">
      <c r="A35" s="1" t="s">
        <v>61</v>
      </c>
      <c r="B35" s="2">
        <v>45762</v>
      </c>
      <c r="C35" s="1" t="s">
        <v>29</v>
      </c>
      <c r="D35" s="1" t="s">
        <v>62</v>
      </c>
      <c r="E35">
        <v>6</v>
      </c>
      <c r="F35">
        <v>30</v>
      </c>
      <c r="G35">
        <v>180</v>
      </c>
    </row>
    <row r="36" spans="1:7" x14ac:dyDescent="0.25">
      <c r="A36" s="1" t="s">
        <v>63</v>
      </c>
      <c r="B36" s="2">
        <v>45678</v>
      </c>
      <c r="C36" s="1" t="s">
        <v>11</v>
      </c>
      <c r="D36" s="1" t="s">
        <v>12</v>
      </c>
      <c r="E36">
        <v>10</v>
      </c>
      <c r="F36">
        <v>275</v>
      </c>
      <c r="G36">
        <v>2750</v>
      </c>
    </row>
    <row r="37" spans="1:7" x14ac:dyDescent="0.25">
      <c r="A37" s="1" t="s">
        <v>64</v>
      </c>
      <c r="B37" s="2">
        <v>45752</v>
      </c>
      <c r="C37" s="1" t="s">
        <v>8</v>
      </c>
      <c r="D37" s="1" t="s">
        <v>22</v>
      </c>
      <c r="E37">
        <v>6</v>
      </c>
      <c r="F37">
        <v>95</v>
      </c>
      <c r="G37">
        <v>570</v>
      </c>
    </row>
    <row r="38" spans="1:7" x14ac:dyDescent="0.25">
      <c r="A38" s="1" t="s">
        <v>65</v>
      </c>
      <c r="B38" s="2">
        <v>45857</v>
      </c>
      <c r="C38" s="1" t="s">
        <v>18</v>
      </c>
      <c r="D38" s="1" t="s">
        <v>42</v>
      </c>
      <c r="E38">
        <v>1</v>
      </c>
      <c r="F38">
        <v>45</v>
      </c>
      <c r="G38">
        <v>45</v>
      </c>
    </row>
    <row r="39" spans="1:7" x14ac:dyDescent="0.25">
      <c r="A39" s="1" t="s">
        <v>66</v>
      </c>
      <c r="B39" s="2">
        <v>45798</v>
      </c>
      <c r="C39" s="1" t="s">
        <v>11</v>
      </c>
      <c r="D39" s="1" t="s">
        <v>27</v>
      </c>
      <c r="E39">
        <v>1</v>
      </c>
      <c r="F39">
        <v>18</v>
      </c>
      <c r="G39">
        <v>18</v>
      </c>
    </row>
    <row r="40" spans="1:7" x14ac:dyDescent="0.25">
      <c r="A40" s="1" t="s">
        <v>67</v>
      </c>
      <c r="B40" s="2">
        <v>45814</v>
      </c>
      <c r="C40" s="1" t="s">
        <v>11</v>
      </c>
      <c r="D40" s="1" t="s">
        <v>22</v>
      </c>
      <c r="E40">
        <v>5</v>
      </c>
      <c r="F40">
        <v>95</v>
      </c>
      <c r="G40">
        <v>475</v>
      </c>
    </row>
    <row r="41" spans="1:7" x14ac:dyDescent="0.25">
      <c r="A41" s="1" t="s">
        <v>68</v>
      </c>
      <c r="B41" s="2">
        <v>45662</v>
      </c>
      <c r="C41" s="1" t="s">
        <v>31</v>
      </c>
      <c r="D41" s="1" t="s">
        <v>20</v>
      </c>
      <c r="E41">
        <v>9</v>
      </c>
      <c r="F41">
        <v>85</v>
      </c>
      <c r="G41">
        <v>765</v>
      </c>
    </row>
    <row r="42" spans="1:7" x14ac:dyDescent="0.25">
      <c r="A42" s="1" t="s">
        <v>69</v>
      </c>
      <c r="B42" s="2">
        <v>45891</v>
      </c>
      <c r="C42" s="1" t="s">
        <v>31</v>
      </c>
      <c r="D42" s="1" t="s">
        <v>24</v>
      </c>
      <c r="E42">
        <v>2</v>
      </c>
      <c r="F42">
        <v>15</v>
      </c>
      <c r="G42">
        <v>30</v>
      </c>
    </row>
    <row r="43" spans="1:7" x14ac:dyDescent="0.25">
      <c r="A43" s="1" t="s">
        <v>70</v>
      </c>
      <c r="B43" s="2">
        <v>45658</v>
      </c>
      <c r="C43" s="1" t="s">
        <v>29</v>
      </c>
      <c r="D43" s="1" t="s">
        <v>44</v>
      </c>
      <c r="E43">
        <v>7</v>
      </c>
      <c r="F43">
        <v>10</v>
      </c>
      <c r="G43">
        <v>70</v>
      </c>
    </row>
    <row r="44" spans="1:7" x14ac:dyDescent="0.25">
      <c r="A44" s="1" t="s">
        <v>71</v>
      </c>
      <c r="B44" s="2">
        <v>45818</v>
      </c>
      <c r="C44" s="1" t="s">
        <v>11</v>
      </c>
      <c r="D44" s="1" t="s">
        <v>53</v>
      </c>
      <c r="E44">
        <v>10</v>
      </c>
      <c r="F44">
        <v>28</v>
      </c>
      <c r="G44">
        <v>280</v>
      </c>
    </row>
    <row r="45" spans="1:7" x14ac:dyDescent="0.25">
      <c r="A45" s="1" t="s">
        <v>72</v>
      </c>
      <c r="B45" s="2">
        <v>45942</v>
      </c>
      <c r="C45" s="1" t="s">
        <v>18</v>
      </c>
      <c r="D45" s="1" t="s">
        <v>20</v>
      </c>
      <c r="E45">
        <v>8</v>
      </c>
      <c r="F45">
        <v>85</v>
      </c>
      <c r="G45">
        <v>680</v>
      </c>
    </row>
    <row r="46" spans="1:7" x14ac:dyDescent="0.25">
      <c r="A46" s="1" t="s">
        <v>73</v>
      </c>
      <c r="B46" s="2">
        <v>46013</v>
      </c>
      <c r="C46" s="1" t="s">
        <v>18</v>
      </c>
      <c r="D46" s="1" t="s">
        <v>53</v>
      </c>
      <c r="E46">
        <v>7</v>
      </c>
      <c r="F46">
        <v>28</v>
      </c>
      <c r="G46">
        <v>196</v>
      </c>
    </row>
    <row r="47" spans="1:7" x14ac:dyDescent="0.25">
      <c r="A47" s="1" t="s">
        <v>74</v>
      </c>
      <c r="B47" s="2">
        <v>45684</v>
      </c>
      <c r="C47" s="1" t="s">
        <v>31</v>
      </c>
      <c r="D47" s="1" t="s">
        <v>33</v>
      </c>
      <c r="E47">
        <v>5</v>
      </c>
      <c r="F47">
        <v>12</v>
      </c>
      <c r="G47">
        <v>60</v>
      </c>
    </row>
    <row r="48" spans="1:7" x14ac:dyDescent="0.25">
      <c r="A48" s="1" t="s">
        <v>75</v>
      </c>
      <c r="B48" s="2">
        <v>45771</v>
      </c>
      <c r="C48" s="1" t="s">
        <v>8</v>
      </c>
      <c r="D48" s="1" t="s">
        <v>44</v>
      </c>
      <c r="E48">
        <v>8</v>
      </c>
      <c r="F48">
        <v>10</v>
      </c>
      <c r="G48">
        <v>80</v>
      </c>
    </row>
    <row r="49" spans="1:7" x14ac:dyDescent="0.25">
      <c r="A49" s="1" t="s">
        <v>76</v>
      </c>
      <c r="B49" s="2">
        <v>45882</v>
      </c>
      <c r="C49" s="1" t="s">
        <v>31</v>
      </c>
      <c r="D49" s="1" t="s">
        <v>9</v>
      </c>
      <c r="E49">
        <v>5</v>
      </c>
      <c r="F49">
        <v>22</v>
      </c>
      <c r="G49">
        <v>110</v>
      </c>
    </row>
    <row r="50" spans="1:7" x14ac:dyDescent="0.25">
      <c r="A50" s="1" t="s">
        <v>77</v>
      </c>
      <c r="B50" s="2">
        <v>45728</v>
      </c>
      <c r="C50" s="1" t="s">
        <v>8</v>
      </c>
      <c r="D50" s="1" t="s">
        <v>49</v>
      </c>
      <c r="E50">
        <v>4</v>
      </c>
      <c r="F50">
        <v>10</v>
      </c>
      <c r="G50">
        <v>40</v>
      </c>
    </row>
    <row r="51" spans="1:7" x14ac:dyDescent="0.25">
      <c r="A51" s="1" t="s">
        <v>78</v>
      </c>
      <c r="B51" s="2">
        <v>45874</v>
      </c>
      <c r="C51" s="1" t="s">
        <v>18</v>
      </c>
      <c r="D51" s="1" t="s">
        <v>22</v>
      </c>
      <c r="E51">
        <v>3</v>
      </c>
      <c r="F51">
        <v>95</v>
      </c>
      <c r="G51">
        <v>285</v>
      </c>
    </row>
    <row r="52" spans="1:7" x14ac:dyDescent="0.25">
      <c r="A52" s="1" t="s">
        <v>79</v>
      </c>
      <c r="B52" s="2">
        <v>45993</v>
      </c>
      <c r="C52" s="1" t="s">
        <v>18</v>
      </c>
      <c r="D52" s="1" t="s">
        <v>53</v>
      </c>
      <c r="E52">
        <v>4</v>
      </c>
      <c r="F52">
        <v>28</v>
      </c>
      <c r="G52">
        <v>112</v>
      </c>
    </row>
    <row r="53" spans="1:7" x14ac:dyDescent="0.25">
      <c r="A53" s="1" t="s">
        <v>80</v>
      </c>
      <c r="B53" s="2">
        <v>45716</v>
      </c>
      <c r="C53" s="1" t="s">
        <v>29</v>
      </c>
      <c r="D53" s="1" t="s">
        <v>62</v>
      </c>
      <c r="E53">
        <v>7</v>
      </c>
      <c r="F53">
        <v>30</v>
      </c>
      <c r="G53">
        <v>210</v>
      </c>
    </row>
    <row r="54" spans="1:7" x14ac:dyDescent="0.25">
      <c r="A54" s="1" t="s">
        <v>81</v>
      </c>
      <c r="B54" s="2">
        <v>45900</v>
      </c>
      <c r="C54" s="1" t="s">
        <v>18</v>
      </c>
      <c r="D54" s="1" t="s">
        <v>24</v>
      </c>
      <c r="E54">
        <v>3</v>
      </c>
      <c r="F54">
        <v>15</v>
      </c>
      <c r="G54">
        <v>45</v>
      </c>
    </row>
    <row r="55" spans="1:7" x14ac:dyDescent="0.25">
      <c r="A55" s="1" t="s">
        <v>82</v>
      </c>
      <c r="B55" s="2">
        <v>45756</v>
      </c>
      <c r="C55" s="1" t="s">
        <v>11</v>
      </c>
      <c r="D55" s="1" t="s">
        <v>49</v>
      </c>
      <c r="E55">
        <v>10</v>
      </c>
      <c r="F55">
        <v>10</v>
      </c>
      <c r="G55">
        <v>100</v>
      </c>
    </row>
    <row r="56" spans="1:7" x14ac:dyDescent="0.25">
      <c r="A56" s="1" t="s">
        <v>83</v>
      </c>
      <c r="B56" s="2">
        <v>45954</v>
      </c>
      <c r="C56" s="1" t="s">
        <v>18</v>
      </c>
      <c r="D56" s="1" t="s">
        <v>39</v>
      </c>
      <c r="E56">
        <v>2</v>
      </c>
      <c r="F56">
        <v>110</v>
      </c>
      <c r="G56">
        <v>220</v>
      </c>
    </row>
    <row r="57" spans="1:7" x14ac:dyDescent="0.25">
      <c r="A57" s="1" t="s">
        <v>84</v>
      </c>
      <c r="B57" s="2">
        <v>45827</v>
      </c>
      <c r="C57" s="1" t="s">
        <v>29</v>
      </c>
      <c r="D57" s="1" t="s">
        <v>20</v>
      </c>
      <c r="E57">
        <v>9</v>
      </c>
      <c r="F57">
        <v>85</v>
      </c>
      <c r="G57">
        <v>765</v>
      </c>
    </row>
    <row r="58" spans="1:7" x14ac:dyDescent="0.25">
      <c r="A58" s="1" t="s">
        <v>85</v>
      </c>
      <c r="B58" s="2">
        <v>45812</v>
      </c>
      <c r="C58" s="1" t="s">
        <v>18</v>
      </c>
      <c r="D58" s="1" t="s">
        <v>49</v>
      </c>
      <c r="E58">
        <v>3</v>
      </c>
      <c r="F58">
        <v>10</v>
      </c>
      <c r="G58">
        <v>30</v>
      </c>
    </row>
    <row r="59" spans="1:7" x14ac:dyDescent="0.25">
      <c r="A59" s="1" t="s">
        <v>86</v>
      </c>
      <c r="B59" s="2">
        <v>45930</v>
      </c>
      <c r="C59" s="1" t="s">
        <v>11</v>
      </c>
      <c r="D59" s="1" t="s">
        <v>33</v>
      </c>
      <c r="E59">
        <v>2</v>
      </c>
      <c r="F59">
        <v>12</v>
      </c>
      <c r="G59">
        <v>24</v>
      </c>
    </row>
    <row r="60" spans="1:7" x14ac:dyDescent="0.25">
      <c r="A60" s="1" t="s">
        <v>87</v>
      </c>
      <c r="B60" s="2">
        <v>45980</v>
      </c>
      <c r="C60" s="1" t="s">
        <v>8</v>
      </c>
      <c r="D60" s="1" t="s">
        <v>51</v>
      </c>
      <c r="E60">
        <v>10</v>
      </c>
      <c r="F60">
        <v>15</v>
      </c>
      <c r="G60">
        <v>150</v>
      </c>
    </row>
    <row r="61" spans="1:7" x14ac:dyDescent="0.25">
      <c r="A61" s="1" t="s">
        <v>88</v>
      </c>
      <c r="B61" s="2">
        <v>45901</v>
      </c>
      <c r="C61" s="1" t="s">
        <v>8</v>
      </c>
      <c r="D61" s="1" t="s">
        <v>22</v>
      </c>
      <c r="E61">
        <v>3</v>
      </c>
      <c r="F61">
        <v>95</v>
      </c>
      <c r="G61">
        <v>285</v>
      </c>
    </row>
    <row r="62" spans="1:7" x14ac:dyDescent="0.25">
      <c r="A62" s="1" t="s">
        <v>89</v>
      </c>
      <c r="B62" s="2">
        <v>45742</v>
      </c>
      <c r="C62" s="1" t="s">
        <v>18</v>
      </c>
      <c r="D62" s="1" t="s">
        <v>33</v>
      </c>
      <c r="E62">
        <v>9</v>
      </c>
      <c r="F62">
        <v>12</v>
      </c>
      <c r="G62">
        <v>108</v>
      </c>
    </row>
    <row r="63" spans="1:7" x14ac:dyDescent="0.25">
      <c r="A63" s="1" t="s">
        <v>90</v>
      </c>
      <c r="B63" s="2">
        <v>45963</v>
      </c>
      <c r="C63" s="1" t="s">
        <v>29</v>
      </c>
      <c r="D63" s="1" t="s">
        <v>53</v>
      </c>
      <c r="E63">
        <v>5</v>
      </c>
      <c r="F63">
        <v>28</v>
      </c>
      <c r="G63">
        <v>140</v>
      </c>
    </row>
    <row r="64" spans="1:7" x14ac:dyDescent="0.25">
      <c r="A64" s="1" t="s">
        <v>91</v>
      </c>
      <c r="B64" s="2">
        <v>45893</v>
      </c>
      <c r="C64" s="1" t="s">
        <v>29</v>
      </c>
      <c r="D64" s="1" t="s">
        <v>12</v>
      </c>
      <c r="E64">
        <v>1</v>
      </c>
      <c r="F64">
        <v>275</v>
      </c>
      <c r="G64">
        <v>275</v>
      </c>
    </row>
    <row r="65" spans="1:7" x14ac:dyDescent="0.25">
      <c r="A65" s="1" t="s">
        <v>92</v>
      </c>
      <c r="B65" s="2">
        <v>45748</v>
      </c>
      <c r="C65" s="1" t="s">
        <v>11</v>
      </c>
      <c r="D65" s="1" t="s">
        <v>9</v>
      </c>
      <c r="E65">
        <v>7</v>
      </c>
      <c r="F65">
        <v>22</v>
      </c>
      <c r="G65">
        <v>154</v>
      </c>
    </row>
    <row r="66" spans="1:7" x14ac:dyDescent="0.25">
      <c r="A66" s="1" t="s">
        <v>93</v>
      </c>
      <c r="B66" s="2">
        <v>45714</v>
      </c>
      <c r="C66" s="1" t="s">
        <v>8</v>
      </c>
      <c r="D66" s="1" t="s">
        <v>51</v>
      </c>
      <c r="E66">
        <v>1</v>
      </c>
      <c r="F66">
        <v>15</v>
      </c>
      <c r="G66">
        <v>15</v>
      </c>
    </row>
    <row r="67" spans="1:7" x14ac:dyDescent="0.25">
      <c r="A67" s="1" t="s">
        <v>94</v>
      </c>
      <c r="B67" s="2">
        <v>46014</v>
      </c>
      <c r="C67" s="1" t="s">
        <v>8</v>
      </c>
      <c r="D67" s="1" t="s">
        <v>39</v>
      </c>
      <c r="E67">
        <v>7</v>
      </c>
      <c r="F67">
        <v>110</v>
      </c>
      <c r="G67">
        <v>770</v>
      </c>
    </row>
    <row r="68" spans="1:7" x14ac:dyDescent="0.25">
      <c r="A68" s="1" t="s">
        <v>95</v>
      </c>
      <c r="B68" s="2">
        <v>46000</v>
      </c>
      <c r="C68" s="1" t="s">
        <v>31</v>
      </c>
      <c r="D68" s="1" t="s">
        <v>24</v>
      </c>
      <c r="E68">
        <v>5</v>
      </c>
      <c r="F68">
        <v>15</v>
      </c>
      <c r="G68">
        <v>75</v>
      </c>
    </row>
    <row r="69" spans="1:7" x14ac:dyDescent="0.25">
      <c r="A69" s="1" t="s">
        <v>96</v>
      </c>
      <c r="B69" s="2">
        <v>45941</v>
      </c>
      <c r="C69" s="1" t="s">
        <v>29</v>
      </c>
      <c r="D69" s="1" t="s">
        <v>42</v>
      </c>
      <c r="E69">
        <v>5</v>
      </c>
      <c r="F69">
        <v>45</v>
      </c>
      <c r="G69">
        <v>225</v>
      </c>
    </row>
    <row r="70" spans="1:7" x14ac:dyDescent="0.25">
      <c r="A70" s="1" t="s">
        <v>97</v>
      </c>
      <c r="B70" s="2">
        <v>45865</v>
      </c>
      <c r="C70" s="1" t="s">
        <v>26</v>
      </c>
      <c r="D70" s="1" t="s">
        <v>39</v>
      </c>
      <c r="E70">
        <v>4</v>
      </c>
      <c r="F70">
        <v>110</v>
      </c>
      <c r="G70">
        <v>440</v>
      </c>
    </row>
    <row r="71" spans="1:7" x14ac:dyDescent="0.25">
      <c r="A71" s="1" t="s">
        <v>98</v>
      </c>
      <c r="B71" s="2">
        <v>45686</v>
      </c>
      <c r="C71" s="1" t="s">
        <v>29</v>
      </c>
      <c r="D71" s="1" t="s">
        <v>24</v>
      </c>
      <c r="E71">
        <v>6</v>
      </c>
      <c r="F71">
        <v>15</v>
      </c>
      <c r="G71">
        <v>90</v>
      </c>
    </row>
    <row r="72" spans="1:7" x14ac:dyDescent="0.25">
      <c r="A72" s="1" t="s">
        <v>99</v>
      </c>
      <c r="B72" s="2">
        <v>45983</v>
      </c>
      <c r="C72" s="1" t="s">
        <v>26</v>
      </c>
      <c r="D72" s="1" t="s">
        <v>20</v>
      </c>
      <c r="E72">
        <v>6</v>
      </c>
      <c r="F72">
        <v>85</v>
      </c>
      <c r="G72">
        <v>510</v>
      </c>
    </row>
    <row r="73" spans="1:7" x14ac:dyDescent="0.25">
      <c r="A73" s="1" t="s">
        <v>100</v>
      </c>
      <c r="B73" s="2">
        <v>45872</v>
      </c>
      <c r="C73" s="1" t="s">
        <v>31</v>
      </c>
      <c r="D73" s="1" t="s">
        <v>62</v>
      </c>
      <c r="E73">
        <v>9</v>
      </c>
      <c r="F73">
        <v>30</v>
      </c>
      <c r="G73">
        <v>270</v>
      </c>
    </row>
    <row r="74" spans="1:7" x14ac:dyDescent="0.25">
      <c r="A74" s="1" t="s">
        <v>101</v>
      </c>
      <c r="B74" s="2">
        <v>45739</v>
      </c>
      <c r="C74" s="1" t="s">
        <v>8</v>
      </c>
      <c r="D74" s="1" t="s">
        <v>12</v>
      </c>
      <c r="E74">
        <v>1</v>
      </c>
      <c r="F74">
        <v>275</v>
      </c>
      <c r="G74">
        <v>275</v>
      </c>
    </row>
    <row r="75" spans="1:7" x14ac:dyDescent="0.25">
      <c r="A75" s="1" t="s">
        <v>102</v>
      </c>
      <c r="B75" s="2">
        <v>45890</v>
      </c>
      <c r="C75" s="1" t="s">
        <v>26</v>
      </c>
      <c r="D75" s="1" t="s">
        <v>42</v>
      </c>
      <c r="E75">
        <v>5</v>
      </c>
      <c r="F75">
        <v>45</v>
      </c>
      <c r="G75">
        <v>225</v>
      </c>
    </row>
    <row r="76" spans="1:7" x14ac:dyDescent="0.25">
      <c r="A76" s="1" t="s">
        <v>103</v>
      </c>
      <c r="B76" s="2">
        <v>45691</v>
      </c>
      <c r="C76" s="1" t="s">
        <v>29</v>
      </c>
      <c r="D76" s="1" t="s">
        <v>33</v>
      </c>
      <c r="E76">
        <v>2</v>
      </c>
      <c r="F76">
        <v>12</v>
      </c>
      <c r="G76">
        <v>24</v>
      </c>
    </row>
    <row r="77" spans="1:7" x14ac:dyDescent="0.25">
      <c r="A77" s="1" t="s">
        <v>104</v>
      </c>
      <c r="B77" s="2">
        <v>45971</v>
      </c>
      <c r="C77" s="1" t="s">
        <v>8</v>
      </c>
      <c r="D77" s="1" t="s">
        <v>53</v>
      </c>
      <c r="E77">
        <v>8</v>
      </c>
      <c r="F77">
        <v>28</v>
      </c>
      <c r="G77">
        <v>224</v>
      </c>
    </row>
    <row r="78" spans="1:7" x14ac:dyDescent="0.25">
      <c r="A78" s="1" t="s">
        <v>105</v>
      </c>
      <c r="B78" s="2">
        <v>45897</v>
      </c>
      <c r="C78" s="1" t="s">
        <v>8</v>
      </c>
      <c r="D78" s="1" t="s">
        <v>42</v>
      </c>
      <c r="E78">
        <v>10</v>
      </c>
      <c r="F78">
        <v>45</v>
      </c>
      <c r="G78">
        <v>450</v>
      </c>
    </row>
    <row r="79" spans="1:7" x14ac:dyDescent="0.25">
      <c r="A79" s="1" t="s">
        <v>106</v>
      </c>
      <c r="B79" s="2">
        <v>45985</v>
      </c>
      <c r="C79" s="1" t="s">
        <v>18</v>
      </c>
      <c r="D79" s="1" t="s">
        <v>27</v>
      </c>
      <c r="E79">
        <v>5</v>
      </c>
      <c r="F79">
        <v>18</v>
      </c>
      <c r="G79">
        <v>90</v>
      </c>
    </row>
    <row r="80" spans="1:7" x14ac:dyDescent="0.25">
      <c r="A80" s="1" t="s">
        <v>107</v>
      </c>
      <c r="B80" s="2">
        <v>45713</v>
      </c>
      <c r="C80" s="1" t="s">
        <v>18</v>
      </c>
      <c r="D80" s="1" t="s">
        <v>12</v>
      </c>
      <c r="E80">
        <v>1</v>
      </c>
      <c r="F80">
        <v>275</v>
      </c>
      <c r="G80">
        <v>275</v>
      </c>
    </row>
    <row r="81" spans="1:7" x14ac:dyDescent="0.25">
      <c r="A81" s="1" t="s">
        <v>108</v>
      </c>
      <c r="B81" s="2">
        <v>46019</v>
      </c>
      <c r="C81" s="1" t="s">
        <v>8</v>
      </c>
      <c r="D81" s="1" t="s">
        <v>39</v>
      </c>
      <c r="E81">
        <v>9</v>
      </c>
      <c r="F81">
        <v>110</v>
      </c>
      <c r="G81">
        <v>990</v>
      </c>
    </row>
    <row r="82" spans="1:7" x14ac:dyDescent="0.25">
      <c r="A82" s="1" t="s">
        <v>109</v>
      </c>
      <c r="B82" s="2">
        <v>45849</v>
      </c>
      <c r="C82" s="1" t="s">
        <v>31</v>
      </c>
      <c r="D82" s="1" t="s">
        <v>62</v>
      </c>
      <c r="E82">
        <v>3</v>
      </c>
      <c r="F82">
        <v>30</v>
      </c>
      <c r="G82">
        <v>90</v>
      </c>
    </row>
    <row r="83" spans="1:7" x14ac:dyDescent="0.25">
      <c r="A83" s="1" t="s">
        <v>110</v>
      </c>
      <c r="B83" s="2">
        <v>45914</v>
      </c>
      <c r="C83" s="1" t="s">
        <v>11</v>
      </c>
      <c r="D83" s="1" t="s">
        <v>42</v>
      </c>
      <c r="E83">
        <v>5</v>
      </c>
      <c r="F83">
        <v>45</v>
      </c>
      <c r="G83">
        <v>225</v>
      </c>
    </row>
    <row r="84" spans="1:7" x14ac:dyDescent="0.25">
      <c r="A84" s="1" t="s">
        <v>111</v>
      </c>
      <c r="B84" s="2">
        <v>45662</v>
      </c>
      <c r="C84" s="1" t="s">
        <v>8</v>
      </c>
      <c r="D84" s="1" t="s">
        <v>53</v>
      </c>
      <c r="E84">
        <v>2</v>
      </c>
      <c r="F84">
        <v>28</v>
      </c>
      <c r="G84">
        <v>56</v>
      </c>
    </row>
    <row r="85" spans="1:7" x14ac:dyDescent="0.25">
      <c r="A85" s="1" t="s">
        <v>112</v>
      </c>
      <c r="B85" s="2">
        <v>45841</v>
      </c>
      <c r="C85" s="1" t="s">
        <v>29</v>
      </c>
      <c r="D85" s="1" t="s">
        <v>49</v>
      </c>
      <c r="E85">
        <v>1</v>
      </c>
      <c r="F85">
        <v>10</v>
      </c>
      <c r="G85">
        <v>10</v>
      </c>
    </row>
    <row r="86" spans="1:7" x14ac:dyDescent="0.25">
      <c r="A86" s="1" t="s">
        <v>113</v>
      </c>
      <c r="B86" s="2">
        <v>45768</v>
      </c>
      <c r="C86" s="1" t="s">
        <v>29</v>
      </c>
      <c r="D86" s="1" t="s">
        <v>12</v>
      </c>
      <c r="E86">
        <v>3</v>
      </c>
      <c r="F86">
        <v>275</v>
      </c>
      <c r="G86">
        <v>825</v>
      </c>
    </row>
    <row r="87" spans="1:7" x14ac:dyDescent="0.25">
      <c r="A87" s="1" t="s">
        <v>114</v>
      </c>
      <c r="B87" s="2">
        <v>45680</v>
      </c>
      <c r="C87" s="1" t="s">
        <v>11</v>
      </c>
      <c r="D87" s="1" t="s">
        <v>20</v>
      </c>
      <c r="E87">
        <v>5</v>
      </c>
      <c r="F87">
        <v>85</v>
      </c>
      <c r="G87">
        <v>425</v>
      </c>
    </row>
    <row r="88" spans="1:7" x14ac:dyDescent="0.25">
      <c r="A88" s="1" t="s">
        <v>115</v>
      </c>
      <c r="B88" s="2">
        <v>45890</v>
      </c>
      <c r="C88" s="1" t="s">
        <v>8</v>
      </c>
      <c r="D88" s="1" t="s">
        <v>53</v>
      </c>
      <c r="E88">
        <v>4</v>
      </c>
      <c r="F88">
        <v>28</v>
      </c>
      <c r="G88">
        <v>112</v>
      </c>
    </row>
    <row r="89" spans="1:7" x14ac:dyDescent="0.25">
      <c r="A89" s="1" t="s">
        <v>116</v>
      </c>
      <c r="B89" s="2">
        <v>45934</v>
      </c>
      <c r="C89" s="1" t="s">
        <v>31</v>
      </c>
      <c r="D89" s="1" t="s">
        <v>20</v>
      </c>
      <c r="E89">
        <v>4</v>
      </c>
      <c r="F89">
        <v>85</v>
      </c>
      <c r="G89">
        <v>340</v>
      </c>
    </row>
    <row r="90" spans="1:7" x14ac:dyDescent="0.25">
      <c r="A90" s="1" t="s">
        <v>117</v>
      </c>
      <c r="B90" s="2">
        <v>45743</v>
      </c>
      <c r="C90" s="1" t="s">
        <v>26</v>
      </c>
      <c r="D90" s="1" t="s">
        <v>51</v>
      </c>
      <c r="E90">
        <v>4</v>
      </c>
      <c r="F90">
        <v>15</v>
      </c>
      <c r="G90">
        <v>60</v>
      </c>
    </row>
    <row r="91" spans="1:7" x14ac:dyDescent="0.25">
      <c r="A91" s="1" t="s">
        <v>118</v>
      </c>
      <c r="B91" s="2">
        <v>45888</v>
      </c>
      <c r="C91" s="1" t="s">
        <v>18</v>
      </c>
      <c r="D91" s="1" t="s">
        <v>16</v>
      </c>
      <c r="E91">
        <v>7</v>
      </c>
      <c r="F91">
        <v>65</v>
      </c>
      <c r="G91">
        <v>455</v>
      </c>
    </row>
    <row r="92" spans="1:7" x14ac:dyDescent="0.25">
      <c r="A92" s="1" t="s">
        <v>119</v>
      </c>
      <c r="B92" s="2">
        <v>45673</v>
      </c>
      <c r="C92" s="1" t="s">
        <v>26</v>
      </c>
      <c r="D92" s="1" t="s">
        <v>20</v>
      </c>
      <c r="E92">
        <v>1</v>
      </c>
      <c r="F92">
        <v>85</v>
      </c>
      <c r="G92">
        <v>85</v>
      </c>
    </row>
    <row r="93" spans="1:7" x14ac:dyDescent="0.25">
      <c r="A93" s="1" t="s">
        <v>120</v>
      </c>
      <c r="B93" s="2">
        <v>45938</v>
      </c>
      <c r="C93" s="1" t="s">
        <v>31</v>
      </c>
      <c r="D93" s="1" t="s">
        <v>39</v>
      </c>
      <c r="E93">
        <v>7</v>
      </c>
      <c r="F93">
        <v>110</v>
      </c>
      <c r="G93">
        <v>770</v>
      </c>
    </row>
    <row r="94" spans="1:7" x14ac:dyDescent="0.25">
      <c r="A94" s="1" t="s">
        <v>121</v>
      </c>
      <c r="B94" s="2">
        <v>45953</v>
      </c>
      <c r="C94" s="1" t="s">
        <v>31</v>
      </c>
      <c r="D94" s="1" t="s">
        <v>27</v>
      </c>
      <c r="E94">
        <v>7</v>
      </c>
      <c r="F94">
        <v>18</v>
      </c>
      <c r="G94">
        <v>126</v>
      </c>
    </row>
    <row r="95" spans="1:7" x14ac:dyDescent="0.25">
      <c r="A95" s="1" t="s">
        <v>122</v>
      </c>
      <c r="B95" s="2">
        <v>45888</v>
      </c>
      <c r="C95" s="1" t="s">
        <v>18</v>
      </c>
      <c r="D95" s="1" t="s">
        <v>51</v>
      </c>
      <c r="E95">
        <v>5</v>
      </c>
      <c r="F95">
        <v>15</v>
      </c>
      <c r="G95">
        <v>75</v>
      </c>
    </row>
    <row r="96" spans="1:7" x14ac:dyDescent="0.25">
      <c r="A96" s="1" t="s">
        <v>123</v>
      </c>
      <c r="B96" s="2">
        <v>45900</v>
      </c>
      <c r="C96" s="1" t="s">
        <v>11</v>
      </c>
      <c r="D96" s="1" t="s">
        <v>62</v>
      </c>
      <c r="E96">
        <v>9</v>
      </c>
      <c r="F96">
        <v>30</v>
      </c>
      <c r="G96">
        <v>270</v>
      </c>
    </row>
    <row r="97" spans="1:7" x14ac:dyDescent="0.25">
      <c r="A97" s="1" t="s">
        <v>124</v>
      </c>
      <c r="B97" s="2">
        <v>45689</v>
      </c>
      <c r="C97" s="1" t="s">
        <v>8</v>
      </c>
      <c r="D97" s="1" t="s">
        <v>44</v>
      </c>
      <c r="E97">
        <v>2</v>
      </c>
      <c r="F97">
        <v>10</v>
      </c>
      <c r="G97">
        <v>20</v>
      </c>
    </row>
    <row r="98" spans="1:7" x14ac:dyDescent="0.25">
      <c r="A98" s="1" t="s">
        <v>125</v>
      </c>
      <c r="B98" s="2">
        <v>45958</v>
      </c>
      <c r="C98" s="1" t="s">
        <v>26</v>
      </c>
      <c r="D98" s="1" t="s">
        <v>24</v>
      </c>
      <c r="E98">
        <v>10</v>
      </c>
      <c r="F98">
        <v>15</v>
      </c>
      <c r="G98">
        <v>150</v>
      </c>
    </row>
    <row r="99" spans="1:7" x14ac:dyDescent="0.25">
      <c r="A99" s="1" t="s">
        <v>126</v>
      </c>
      <c r="B99" s="2">
        <v>45696</v>
      </c>
      <c r="C99" s="1" t="s">
        <v>29</v>
      </c>
      <c r="D99" s="1" t="s">
        <v>22</v>
      </c>
      <c r="E99">
        <v>4</v>
      </c>
      <c r="F99">
        <v>95</v>
      </c>
      <c r="G99">
        <v>380</v>
      </c>
    </row>
    <row r="100" spans="1:7" x14ac:dyDescent="0.25">
      <c r="A100" s="1" t="s">
        <v>127</v>
      </c>
      <c r="B100" s="2">
        <v>45823</v>
      </c>
      <c r="C100" s="1" t="s">
        <v>31</v>
      </c>
      <c r="D100" s="1" t="s">
        <v>16</v>
      </c>
      <c r="E100">
        <v>10</v>
      </c>
      <c r="F100">
        <v>65</v>
      </c>
      <c r="G100">
        <v>650</v>
      </c>
    </row>
    <row r="101" spans="1:7" x14ac:dyDescent="0.25">
      <c r="A101" s="1" t="s">
        <v>128</v>
      </c>
      <c r="B101" s="2">
        <v>45765</v>
      </c>
      <c r="C101" s="1" t="s">
        <v>18</v>
      </c>
      <c r="D101" s="1" t="s">
        <v>49</v>
      </c>
      <c r="E101">
        <v>6</v>
      </c>
      <c r="F101">
        <v>10</v>
      </c>
      <c r="G101">
        <v>60</v>
      </c>
    </row>
    <row r="102" spans="1:7" x14ac:dyDescent="0.25">
      <c r="A102" s="1" t="s">
        <v>129</v>
      </c>
      <c r="B102" s="2">
        <v>45676</v>
      </c>
      <c r="C102" s="1" t="s">
        <v>29</v>
      </c>
      <c r="D102" s="1" t="s">
        <v>42</v>
      </c>
      <c r="E102">
        <v>9</v>
      </c>
      <c r="F102">
        <v>45</v>
      </c>
      <c r="G102">
        <v>405</v>
      </c>
    </row>
    <row r="103" spans="1:7" x14ac:dyDescent="0.25">
      <c r="A103" s="1" t="s">
        <v>130</v>
      </c>
      <c r="B103" s="2">
        <v>45991</v>
      </c>
      <c r="C103" s="1" t="s">
        <v>31</v>
      </c>
      <c r="D103" s="1" t="s">
        <v>27</v>
      </c>
      <c r="E103">
        <v>1</v>
      </c>
      <c r="F103">
        <v>18</v>
      </c>
      <c r="G103">
        <v>18</v>
      </c>
    </row>
    <row r="104" spans="1:7" x14ac:dyDescent="0.25">
      <c r="A104" s="1" t="s">
        <v>131</v>
      </c>
      <c r="B104" s="2">
        <v>45768</v>
      </c>
      <c r="C104" s="1" t="s">
        <v>11</v>
      </c>
      <c r="D104" s="1" t="s">
        <v>14</v>
      </c>
      <c r="E104">
        <v>4</v>
      </c>
      <c r="F104">
        <v>20</v>
      </c>
      <c r="G104">
        <v>80</v>
      </c>
    </row>
    <row r="105" spans="1:7" x14ac:dyDescent="0.25">
      <c r="A105" s="1" t="s">
        <v>132</v>
      </c>
      <c r="B105" s="2">
        <v>45894</v>
      </c>
      <c r="C105" s="1" t="s">
        <v>8</v>
      </c>
      <c r="D105" s="1" t="s">
        <v>16</v>
      </c>
      <c r="E105">
        <v>9</v>
      </c>
      <c r="F105">
        <v>65</v>
      </c>
      <c r="G105">
        <v>585</v>
      </c>
    </row>
    <row r="106" spans="1:7" x14ac:dyDescent="0.25">
      <c r="A106" s="1" t="s">
        <v>133</v>
      </c>
      <c r="B106" s="2">
        <v>45730</v>
      </c>
      <c r="C106" s="1" t="s">
        <v>18</v>
      </c>
      <c r="D106" s="1" t="s">
        <v>9</v>
      </c>
      <c r="E106">
        <v>5</v>
      </c>
      <c r="F106">
        <v>22</v>
      </c>
      <c r="G106">
        <v>110</v>
      </c>
    </row>
    <row r="107" spans="1:7" x14ac:dyDescent="0.25">
      <c r="A107" s="1" t="s">
        <v>134</v>
      </c>
      <c r="B107" s="2">
        <v>45866</v>
      </c>
      <c r="C107" s="1" t="s">
        <v>29</v>
      </c>
      <c r="D107" s="1" t="s">
        <v>16</v>
      </c>
      <c r="E107">
        <v>9</v>
      </c>
      <c r="F107">
        <v>65</v>
      </c>
      <c r="G107">
        <v>585</v>
      </c>
    </row>
    <row r="108" spans="1:7" x14ac:dyDescent="0.25">
      <c r="A108" s="1" t="s">
        <v>135</v>
      </c>
      <c r="B108" s="2">
        <v>45881</v>
      </c>
      <c r="C108" s="1" t="s">
        <v>8</v>
      </c>
      <c r="D108" s="1" t="s">
        <v>49</v>
      </c>
      <c r="E108">
        <v>6</v>
      </c>
      <c r="F108">
        <v>10</v>
      </c>
      <c r="G108">
        <v>60</v>
      </c>
    </row>
    <row r="109" spans="1:7" x14ac:dyDescent="0.25">
      <c r="A109" s="1" t="s">
        <v>136</v>
      </c>
      <c r="B109" s="2">
        <v>45755</v>
      </c>
      <c r="C109" s="1" t="s">
        <v>11</v>
      </c>
      <c r="D109" s="1" t="s">
        <v>33</v>
      </c>
      <c r="E109">
        <v>3</v>
      </c>
      <c r="F109">
        <v>12</v>
      </c>
      <c r="G109">
        <v>36</v>
      </c>
    </row>
    <row r="110" spans="1:7" x14ac:dyDescent="0.25">
      <c r="A110" s="1" t="s">
        <v>137</v>
      </c>
      <c r="B110" s="2">
        <v>45708</v>
      </c>
      <c r="C110" s="1" t="s">
        <v>31</v>
      </c>
      <c r="D110" s="1" t="s">
        <v>44</v>
      </c>
      <c r="E110">
        <v>10</v>
      </c>
      <c r="F110">
        <v>10</v>
      </c>
      <c r="G110">
        <v>100</v>
      </c>
    </row>
    <row r="111" spans="1:7" x14ac:dyDescent="0.25">
      <c r="A111" s="1" t="s">
        <v>138</v>
      </c>
      <c r="B111" s="2">
        <v>45782</v>
      </c>
      <c r="C111" s="1" t="s">
        <v>8</v>
      </c>
      <c r="D111" s="1" t="s">
        <v>33</v>
      </c>
      <c r="E111">
        <v>8</v>
      </c>
      <c r="F111">
        <v>12</v>
      </c>
      <c r="G111">
        <v>96</v>
      </c>
    </row>
    <row r="112" spans="1:7" x14ac:dyDescent="0.25">
      <c r="A112" s="1" t="s">
        <v>139</v>
      </c>
      <c r="B112" s="2">
        <v>45755</v>
      </c>
      <c r="C112" s="1" t="s">
        <v>31</v>
      </c>
      <c r="D112" s="1" t="s">
        <v>16</v>
      </c>
      <c r="E112">
        <v>9</v>
      </c>
      <c r="F112">
        <v>65</v>
      </c>
      <c r="G112">
        <v>585</v>
      </c>
    </row>
    <row r="113" spans="1:7" x14ac:dyDescent="0.25">
      <c r="A113" s="1" t="s">
        <v>140</v>
      </c>
      <c r="B113" s="2">
        <v>45693</v>
      </c>
      <c r="C113" s="1" t="s">
        <v>31</v>
      </c>
      <c r="D113" s="1" t="s">
        <v>20</v>
      </c>
      <c r="E113">
        <v>6</v>
      </c>
      <c r="F113">
        <v>85</v>
      </c>
      <c r="G113">
        <v>510</v>
      </c>
    </row>
    <row r="114" spans="1:7" x14ac:dyDescent="0.25">
      <c r="A114" s="1" t="s">
        <v>141</v>
      </c>
      <c r="B114" s="2">
        <v>45683</v>
      </c>
      <c r="C114" s="1" t="s">
        <v>11</v>
      </c>
      <c r="D114" s="1" t="s">
        <v>53</v>
      </c>
      <c r="E114">
        <v>1</v>
      </c>
      <c r="F114">
        <v>28</v>
      </c>
      <c r="G114">
        <v>28</v>
      </c>
    </row>
    <row r="115" spans="1:7" x14ac:dyDescent="0.25">
      <c r="A115" s="1" t="s">
        <v>142</v>
      </c>
      <c r="B115" s="2">
        <v>45813</v>
      </c>
      <c r="C115" s="1" t="s">
        <v>18</v>
      </c>
      <c r="D115" s="1" t="s">
        <v>9</v>
      </c>
      <c r="E115">
        <v>10</v>
      </c>
      <c r="F115">
        <v>22</v>
      </c>
      <c r="G115">
        <v>220</v>
      </c>
    </row>
    <row r="116" spans="1:7" x14ac:dyDescent="0.25">
      <c r="A116" s="1" t="s">
        <v>143</v>
      </c>
      <c r="B116" s="2">
        <v>45940</v>
      </c>
      <c r="C116" s="1" t="s">
        <v>18</v>
      </c>
      <c r="D116" s="1" t="s">
        <v>24</v>
      </c>
      <c r="E116">
        <v>3</v>
      </c>
      <c r="F116">
        <v>15</v>
      </c>
      <c r="G116">
        <v>45</v>
      </c>
    </row>
    <row r="117" spans="1:7" x14ac:dyDescent="0.25">
      <c r="A117" s="1" t="s">
        <v>144</v>
      </c>
      <c r="B117" s="2">
        <v>45737</v>
      </c>
      <c r="C117" s="1" t="s">
        <v>26</v>
      </c>
      <c r="D117" s="1" t="s">
        <v>27</v>
      </c>
      <c r="E117">
        <v>9</v>
      </c>
      <c r="F117">
        <v>18</v>
      </c>
      <c r="G117">
        <v>162</v>
      </c>
    </row>
    <row r="118" spans="1:7" x14ac:dyDescent="0.25">
      <c r="A118" s="1" t="s">
        <v>145</v>
      </c>
      <c r="B118" s="2">
        <v>45962</v>
      </c>
      <c r="C118" s="1" t="s">
        <v>26</v>
      </c>
      <c r="D118" s="1" t="s">
        <v>14</v>
      </c>
      <c r="E118">
        <v>5</v>
      </c>
      <c r="F118">
        <v>20</v>
      </c>
      <c r="G118">
        <v>100</v>
      </c>
    </row>
    <row r="119" spans="1:7" x14ac:dyDescent="0.25">
      <c r="A119" s="1" t="s">
        <v>146</v>
      </c>
      <c r="B119" s="2">
        <v>45968</v>
      </c>
      <c r="C119" s="1" t="s">
        <v>29</v>
      </c>
      <c r="D119" s="1" t="s">
        <v>14</v>
      </c>
      <c r="E119">
        <v>10</v>
      </c>
      <c r="F119">
        <v>20</v>
      </c>
      <c r="G119">
        <v>200</v>
      </c>
    </row>
    <row r="120" spans="1:7" x14ac:dyDescent="0.25">
      <c r="A120" s="1" t="s">
        <v>147</v>
      </c>
      <c r="B120" s="2">
        <v>45694</v>
      </c>
      <c r="C120" s="1" t="s">
        <v>11</v>
      </c>
      <c r="D120" s="1" t="s">
        <v>39</v>
      </c>
      <c r="E120">
        <v>8</v>
      </c>
      <c r="F120">
        <v>110</v>
      </c>
      <c r="G120">
        <v>880</v>
      </c>
    </row>
    <row r="121" spans="1:7" x14ac:dyDescent="0.25">
      <c r="A121" s="1" t="s">
        <v>148</v>
      </c>
      <c r="B121" s="2">
        <v>46016</v>
      </c>
      <c r="C121" s="1" t="s">
        <v>31</v>
      </c>
      <c r="D121" s="1" t="s">
        <v>62</v>
      </c>
      <c r="E121">
        <v>8</v>
      </c>
      <c r="F121">
        <v>30</v>
      </c>
      <c r="G121">
        <v>240</v>
      </c>
    </row>
    <row r="122" spans="1:7" x14ac:dyDescent="0.25">
      <c r="A122" s="1" t="s">
        <v>149</v>
      </c>
      <c r="B122" s="2">
        <v>45670</v>
      </c>
      <c r="C122" s="1" t="s">
        <v>18</v>
      </c>
      <c r="D122" s="1" t="s">
        <v>62</v>
      </c>
      <c r="E122">
        <v>3</v>
      </c>
      <c r="F122">
        <v>30</v>
      </c>
      <c r="G122">
        <v>90</v>
      </c>
    </row>
    <row r="123" spans="1:7" x14ac:dyDescent="0.25">
      <c r="A123" s="1" t="s">
        <v>150</v>
      </c>
      <c r="B123" s="2">
        <v>45896</v>
      </c>
      <c r="C123" s="1" t="s">
        <v>8</v>
      </c>
      <c r="D123" s="1" t="s">
        <v>53</v>
      </c>
      <c r="E123">
        <v>9</v>
      </c>
      <c r="F123">
        <v>28</v>
      </c>
      <c r="G123">
        <v>252</v>
      </c>
    </row>
    <row r="124" spans="1:7" x14ac:dyDescent="0.25">
      <c r="A124" s="1" t="s">
        <v>151</v>
      </c>
      <c r="B124" s="2">
        <v>46004</v>
      </c>
      <c r="C124" s="1" t="s">
        <v>18</v>
      </c>
      <c r="D124" s="1" t="s">
        <v>9</v>
      </c>
      <c r="E124">
        <v>2</v>
      </c>
      <c r="F124">
        <v>22</v>
      </c>
      <c r="G124">
        <v>44</v>
      </c>
    </row>
    <row r="125" spans="1:7" x14ac:dyDescent="0.25">
      <c r="A125" s="1" t="s">
        <v>152</v>
      </c>
      <c r="B125" s="2">
        <v>45986</v>
      </c>
      <c r="C125" s="1" t="s">
        <v>26</v>
      </c>
      <c r="D125" s="1" t="s">
        <v>12</v>
      </c>
      <c r="E125">
        <v>6</v>
      </c>
      <c r="F125">
        <v>275</v>
      </c>
      <c r="G125">
        <v>1650</v>
      </c>
    </row>
    <row r="126" spans="1:7" x14ac:dyDescent="0.25">
      <c r="A126" s="1" t="s">
        <v>153</v>
      </c>
      <c r="B126" s="2">
        <v>45668</v>
      </c>
      <c r="C126" s="1" t="s">
        <v>26</v>
      </c>
      <c r="D126" s="1" t="s">
        <v>24</v>
      </c>
      <c r="E126">
        <v>4</v>
      </c>
      <c r="F126">
        <v>15</v>
      </c>
      <c r="G126">
        <v>60</v>
      </c>
    </row>
    <row r="127" spans="1:7" x14ac:dyDescent="0.25">
      <c r="A127" s="1" t="s">
        <v>154</v>
      </c>
      <c r="B127" s="2">
        <v>45852</v>
      </c>
      <c r="C127" s="1" t="s">
        <v>11</v>
      </c>
      <c r="D127" s="1" t="s">
        <v>16</v>
      </c>
      <c r="E127">
        <v>10</v>
      </c>
      <c r="F127">
        <v>65</v>
      </c>
      <c r="G127">
        <v>650</v>
      </c>
    </row>
    <row r="128" spans="1:7" x14ac:dyDescent="0.25">
      <c r="A128" s="1" t="s">
        <v>155</v>
      </c>
      <c r="B128" s="2">
        <v>45836</v>
      </c>
      <c r="C128" s="1" t="s">
        <v>31</v>
      </c>
      <c r="D128" s="1" t="s">
        <v>12</v>
      </c>
      <c r="E128">
        <v>3</v>
      </c>
      <c r="F128">
        <v>275</v>
      </c>
      <c r="G128">
        <v>825</v>
      </c>
    </row>
    <row r="129" spans="1:7" x14ac:dyDescent="0.25">
      <c r="A129" s="1" t="s">
        <v>156</v>
      </c>
      <c r="B129" s="2">
        <v>45857</v>
      </c>
      <c r="C129" s="1" t="s">
        <v>26</v>
      </c>
      <c r="D129" s="1" t="s">
        <v>49</v>
      </c>
      <c r="E129">
        <v>5</v>
      </c>
      <c r="F129">
        <v>10</v>
      </c>
      <c r="G129">
        <v>50</v>
      </c>
    </row>
    <row r="130" spans="1:7" x14ac:dyDescent="0.25">
      <c r="A130" s="1" t="s">
        <v>157</v>
      </c>
      <c r="B130" s="2">
        <v>45950</v>
      </c>
      <c r="C130" s="1" t="s">
        <v>18</v>
      </c>
      <c r="D130" s="1" t="s">
        <v>24</v>
      </c>
      <c r="F130">
        <v>15</v>
      </c>
    </row>
    <row r="131" spans="1:7" x14ac:dyDescent="0.25">
      <c r="A131" s="1" t="s">
        <v>158</v>
      </c>
      <c r="B131" s="2">
        <v>45750</v>
      </c>
      <c r="C131" s="1" t="s">
        <v>8</v>
      </c>
      <c r="D131" s="1" t="s">
        <v>22</v>
      </c>
      <c r="E131">
        <v>5</v>
      </c>
      <c r="F131">
        <v>95</v>
      </c>
      <c r="G131">
        <v>475</v>
      </c>
    </row>
    <row r="132" spans="1:7" x14ac:dyDescent="0.25">
      <c r="A132" s="1" t="s">
        <v>159</v>
      </c>
      <c r="B132" s="2">
        <v>45934</v>
      </c>
      <c r="C132" s="1" t="s">
        <v>26</v>
      </c>
      <c r="D132" s="1" t="s">
        <v>33</v>
      </c>
      <c r="E132">
        <v>1</v>
      </c>
      <c r="F132">
        <v>12</v>
      </c>
      <c r="G132">
        <v>12</v>
      </c>
    </row>
    <row r="133" spans="1:7" x14ac:dyDescent="0.25">
      <c r="A133" s="1" t="s">
        <v>160</v>
      </c>
      <c r="B133" s="2">
        <v>45762</v>
      </c>
      <c r="C133" s="1" t="s">
        <v>11</v>
      </c>
      <c r="D133" s="1" t="s">
        <v>53</v>
      </c>
      <c r="E133">
        <v>5</v>
      </c>
      <c r="F133">
        <v>28</v>
      </c>
      <c r="G133">
        <v>140</v>
      </c>
    </row>
    <row r="134" spans="1:7" x14ac:dyDescent="0.25">
      <c r="A134" s="1" t="s">
        <v>161</v>
      </c>
      <c r="B134" s="2">
        <v>45799</v>
      </c>
      <c r="C134" s="1" t="s">
        <v>31</v>
      </c>
      <c r="D134" s="1" t="s">
        <v>9</v>
      </c>
      <c r="E134">
        <v>2</v>
      </c>
      <c r="F134">
        <v>22</v>
      </c>
      <c r="G134">
        <v>44</v>
      </c>
    </row>
    <row r="135" spans="1:7" x14ac:dyDescent="0.25">
      <c r="A135" s="1" t="s">
        <v>162</v>
      </c>
      <c r="B135" s="2">
        <v>45776</v>
      </c>
      <c r="C135" s="1" t="s">
        <v>8</v>
      </c>
      <c r="D135" s="1" t="s">
        <v>39</v>
      </c>
      <c r="E135">
        <v>1</v>
      </c>
      <c r="F135">
        <v>110</v>
      </c>
      <c r="G135">
        <v>110</v>
      </c>
    </row>
    <row r="136" spans="1:7" x14ac:dyDescent="0.25">
      <c r="A136" s="1" t="s">
        <v>163</v>
      </c>
      <c r="B136" s="2">
        <v>45874</v>
      </c>
      <c r="C136" s="1" t="s">
        <v>26</v>
      </c>
      <c r="D136" s="1" t="s">
        <v>20</v>
      </c>
      <c r="E136">
        <v>6</v>
      </c>
      <c r="F136">
        <v>85</v>
      </c>
      <c r="G136">
        <v>510</v>
      </c>
    </row>
    <row r="137" spans="1:7" x14ac:dyDescent="0.25">
      <c r="A137" s="1" t="s">
        <v>164</v>
      </c>
      <c r="B137" s="2">
        <v>45755</v>
      </c>
      <c r="C137" s="1" t="s">
        <v>18</v>
      </c>
      <c r="D137" s="1" t="s">
        <v>33</v>
      </c>
      <c r="E137">
        <v>7</v>
      </c>
      <c r="F137">
        <v>12</v>
      </c>
      <c r="G137">
        <v>84</v>
      </c>
    </row>
    <row r="138" spans="1:7" x14ac:dyDescent="0.25">
      <c r="A138" s="1" t="s">
        <v>165</v>
      </c>
      <c r="B138" s="2">
        <v>45785</v>
      </c>
      <c r="C138" s="1" t="s">
        <v>11</v>
      </c>
      <c r="D138" s="1" t="s">
        <v>53</v>
      </c>
      <c r="E138">
        <v>2</v>
      </c>
      <c r="F138">
        <v>28</v>
      </c>
      <c r="G138">
        <v>56</v>
      </c>
    </row>
    <row r="139" spans="1:7" x14ac:dyDescent="0.25">
      <c r="A139" s="1" t="s">
        <v>166</v>
      </c>
      <c r="B139" s="2">
        <v>45834</v>
      </c>
      <c r="C139" s="1" t="s">
        <v>31</v>
      </c>
      <c r="D139" s="1" t="s">
        <v>33</v>
      </c>
      <c r="F139">
        <v>12</v>
      </c>
    </row>
    <row r="140" spans="1:7" x14ac:dyDescent="0.25">
      <c r="A140" s="1" t="s">
        <v>167</v>
      </c>
      <c r="B140" s="2">
        <v>46014</v>
      </c>
      <c r="C140" s="1" t="s">
        <v>31</v>
      </c>
      <c r="D140" s="1" t="s">
        <v>24</v>
      </c>
      <c r="E140">
        <v>2</v>
      </c>
      <c r="F140">
        <v>15</v>
      </c>
      <c r="G140">
        <v>30</v>
      </c>
    </row>
    <row r="141" spans="1:7" x14ac:dyDescent="0.25">
      <c r="A141" s="1" t="s">
        <v>168</v>
      </c>
      <c r="B141" s="2">
        <v>45725</v>
      </c>
      <c r="C141" s="1" t="s">
        <v>18</v>
      </c>
      <c r="D141" s="1" t="s">
        <v>12</v>
      </c>
      <c r="E141">
        <v>7</v>
      </c>
      <c r="F141">
        <v>275</v>
      </c>
      <c r="G141">
        <v>1925</v>
      </c>
    </row>
    <row r="142" spans="1:7" x14ac:dyDescent="0.25">
      <c r="A142" s="1" t="s">
        <v>169</v>
      </c>
      <c r="B142" s="2">
        <v>45784</v>
      </c>
      <c r="C142" s="1" t="s">
        <v>8</v>
      </c>
      <c r="D142" s="1" t="s">
        <v>22</v>
      </c>
      <c r="E142">
        <v>2</v>
      </c>
      <c r="F142">
        <v>95</v>
      </c>
      <c r="G142">
        <v>190</v>
      </c>
    </row>
    <row r="143" spans="1:7" x14ac:dyDescent="0.25">
      <c r="A143" s="1" t="s">
        <v>170</v>
      </c>
      <c r="B143" s="2">
        <v>45924</v>
      </c>
      <c r="C143" s="1" t="s">
        <v>29</v>
      </c>
      <c r="D143" s="1" t="s">
        <v>24</v>
      </c>
      <c r="E143">
        <v>5</v>
      </c>
      <c r="F143">
        <v>15</v>
      </c>
      <c r="G143">
        <v>75</v>
      </c>
    </row>
    <row r="144" spans="1:7" x14ac:dyDescent="0.25">
      <c r="A144" s="1" t="s">
        <v>171</v>
      </c>
      <c r="B144" s="2">
        <v>46004</v>
      </c>
      <c r="C144" s="1" t="s">
        <v>18</v>
      </c>
      <c r="D144" s="1" t="s">
        <v>20</v>
      </c>
      <c r="E144">
        <v>7</v>
      </c>
      <c r="F144">
        <v>85</v>
      </c>
      <c r="G144">
        <v>595</v>
      </c>
    </row>
    <row r="145" spans="1:7" x14ac:dyDescent="0.25">
      <c r="A145" s="1" t="s">
        <v>172</v>
      </c>
      <c r="B145" s="2">
        <v>45878</v>
      </c>
      <c r="C145" s="1" t="s">
        <v>31</v>
      </c>
      <c r="D145" s="1" t="s">
        <v>62</v>
      </c>
      <c r="E145">
        <v>6</v>
      </c>
      <c r="F145">
        <v>30</v>
      </c>
      <c r="G145">
        <v>180</v>
      </c>
    </row>
    <row r="146" spans="1:7" x14ac:dyDescent="0.25">
      <c r="A146" s="1" t="s">
        <v>173</v>
      </c>
      <c r="B146" s="2">
        <v>45676</v>
      </c>
      <c r="C146" s="1" t="s">
        <v>26</v>
      </c>
      <c r="D146" s="1" t="s">
        <v>9</v>
      </c>
      <c r="E146">
        <v>9</v>
      </c>
      <c r="F146">
        <v>22</v>
      </c>
      <c r="G146">
        <v>198</v>
      </c>
    </row>
    <row r="147" spans="1:7" x14ac:dyDescent="0.25">
      <c r="A147" s="1" t="s">
        <v>174</v>
      </c>
      <c r="B147" s="2">
        <v>45983</v>
      </c>
      <c r="C147" s="1" t="s">
        <v>11</v>
      </c>
      <c r="D147" s="1" t="s">
        <v>51</v>
      </c>
      <c r="E147">
        <v>10</v>
      </c>
      <c r="F147">
        <v>15</v>
      </c>
      <c r="G147">
        <v>150</v>
      </c>
    </row>
    <row r="148" spans="1:7" x14ac:dyDescent="0.25">
      <c r="A148" s="1" t="s">
        <v>175</v>
      </c>
      <c r="B148" s="2">
        <v>45774</v>
      </c>
      <c r="C148" s="1" t="s">
        <v>8</v>
      </c>
      <c r="D148" s="1" t="s">
        <v>49</v>
      </c>
      <c r="E148">
        <v>5</v>
      </c>
      <c r="F148">
        <v>10</v>
      </c>
      <c r="G148">
        <v>50</v>
      </c>
    </row>
    <row r="149" spans="1:7" x14ac:dyDescent="0.25">
      <c r="A149" s="1" t="s">
        <v>176</v>
      </c>
      <c r="B149" s="2">
        <v>45734</v>
      </c>
      <c r="C149" s="1" t="s">
        <v>11</v>
      </c>
      <c r="D149" s="1" t="s">
        <v>33</v>
      </c>
      <c r="F149">
        <v>12</v>
      </c>
    </row>
    <row r="150" spans="1:7" x14ac:dyDescent="0.25">
      <c r="A150" s="1" t="s">
        <v>177</v>
      </c>
      <c r="B150" s="2">
        <v>45707</v>
      </c>
      <c r="C150" s="1" t="s">
        <v>26</v>
      </c>
      <c r="D150" s="1" t="s">
        <v>51</v>
      </c>
      <c r="E150">
        <v>7</v>
      </c>
      <c r="F150">
        <v>15</v>
      </c>
      <c r="G150">
        <v>105</v>
      </c>
    </row>
    <row r="151" spans="1:7" x14ac:dyDescent="0.25">
      <c r="A151" s="1" t="s">
        <v>178</v>
      </c>
      <c r="B151" s="2">
        <v>45723</v>
      </c>
      <c r="C151" s="1" t="s">
        <v>31</v>
      </c>
      <c r="D151" s="1" t="s">
        <v>9</v>
      </c>
      <c r="E151">
        <v>7</v>
      </c>
      <c r="F151">
        <v>22</v>
      </c>
      <c r="G151">
        <v>154</v>
      </c>
    </row>
    <row r="152" spans="1:7" x14ac:dyDescent="0.25">
      <c r="A152" s="1" t="s">
        <v>179</v>
      </c>
      <c r="B152" s="2">
        <v>45953</v>
      </c>
      <c r="C152" s="1" t="s">
        <v>18</v>
      </c>
      <c r="D152" s="1" t="s">
        <v>9</v>
      </c>
      <c r="E152">
        <v>10</v>
      </c>
      <c r="F152">
        <v>22</v>
      </c>
      <c r="G152">
        <v>220</v>
      </c>
    </row>
    <row r="153" spans="1:7" x14ac:dyDescent="0.25">
      <c r="A153" s="1" t="s">
        <v>180</v>
      </c>
      <c r="B153" s="2">
        <v>45735</v>
      </c>
      <c r="C153" s="1" t="s">
        <v>29</v>
      </c>
      <c r="D153" s="1" t="s">
        <v>51</v>
      </c>
      <c r="E153">
        <v>3</v>
      </c>
      <c r="F153">
        <v>15</v>
      </c>
      <c r="G153">
        <v>45</v>
      </c>
    </row>
    <row r="154" spans="1:7" x14ac:dyDescent="0.25">
      <c r="A154" s="1" t="s">
        <v>181</v>
      </c>
      <c r="B154" s="2">
        <v>45757</v>
      </c>
      <c r="C154" s="1" t="s">
        <v>29</v>
      </c>
      <c r="D154" s="1" t="s">
        <v>39</v>
      </c>
      <c r="E154">
        <v>2</v>
      </c>
      <c r="F154">
        <v>110</v>
      </c>
      <c r="G154">
        <v>220</v>
      </c>
    </row>
    <row r="155" spans="1:7" x14ac:dyDescent="0.25">
      <c r="A155" s="1" t="s">
        <v>182</v>
      </c>
      <c r="B155" s="2">
        <v>45823</v>
      </c>
      <c r="C155" s="1" t="s">
        <v>26</v>
      </c>
      <c r="D155" s="1" t="s">
        <v>53</v>
      </c>
      <c r="E155">
        <v>5</v>
      </c>
      <c r="F155">
        <v>28</v>
      </c>
      <c r="G155">
        <v>140</v>
      </c>
    </row>
    <row r="156" spans="1:7" x14ac:dyDescent="0.25">
      <c r="A156" s="1" t="s">
        <v>183</v>
      </c>
      <c r="B156" s="2">
        <v>45883</v>
      </c>
      <c r="C156" s="1" t="s">
        <v>11</v>
      </c>
      <c r="D156" s="1" t="s">
        <v>24</v>
      </c>
      <c r="E156">
        <v>5</v>
      </c>
      <c r="F156">
        <v>15</v>
      </c>
      <c r="G156">
        <v>75</v>
      </c>
    </row>
    <row r="157" spans="1:7" x14ac:dyDescent="0.25">
      <c r="A157" s="1" t="s">
        <v>184</v>
      </c>
      <c r="B157" s="2">
        <v>45963</v>
      </c>
      <c r="C157" s="1" t="s">
        <v>11</v>
      </c>
      <c r="D157" s="1" t="s">
        <v>14</v>
      </c>
      <c r="E157">
        <v>7</v>
      </c>
      <c r="F157">
        <v>20</v>
      </c>
      <c r="G157">
        <v>140</v>
      </c>
    </row>
    <row r="158" spans="1:7" x14ac:dyDescent="0.25">
      <c r="A158" s="1" t="s">
        <v>185</v>
      </c>
      <c r="B158" s="2">
        <v>45692</v>
      </c>
      <c r="C158" s="1" t="s">
        <v>18</v>
      </c>
      <c r="D158" s="1" t="s">
        <v>51</v>
      </c>
      <c r="E158">
        <v>10</v>
      </c>
      <c r="F158">
        <v>15</v>
      </c>
      <c r="G158">
        <v>150</v>
      </c>
    </row>
    <row r="159" spans="1:7" x14ac:dyDescent="0.25">
      <c r="A159" s="1" t="s">
        <v>186</v>
      </c>
      <c r="B159" s="2">
        <v>45740</v>
      </c>
      <c r="C159" s="1" t="s">
        <v>29</v>
      </c>
      <c r="D159" s="1" t="s">
        <v>9</v>
      </c>
      <c r="E159">
        <v>5</v>
      </c>
      <c r="F159">
        <v>22</v>
      </c>
      <c r="G159">
        <v>110</v>
      </c>
    </row>
    <row r="160" spans="1:7" x14ac:dyDescent="0.25">
      <c r="A160" s="1" t="s">
        <v>187</v>
      </c>
      <c r="B160" s="2">
        <v>45699</v>
      </c>
      <c r="C160" s="1" t="s">
        <v>31</v>
      </c>
      <c r="D160" s="1" t="s">
        <v>44</v>
      </c>
      <c r="E160">
        <v>10</v>
      </c>
      <c r="F160">
        <v>10</v>
      </c>
      <c r="G160">
        <v>100</v>
      </c>
    </row>
    <row r="161" spans="1:7" x14ac:dyDescent="0.25">
      <c r="A161" s="1" t="s">
        <v>188</v>
      </c>
      <c r="B161" s="2">
        <v>45795</v>
      </c>
      <c r="C161" s="1" t="s">
        <v>26</v>
      </c>
      <c r="D161" s="1" t="s">
        <v>53</v>
      </c>
      <c r="E161">
        <v>7</v>
      </c>
      <c r="F161">
        <v>28</v>
      </c>
      <c r="G161">
        <v>196</v>
      </c>
    </row>
    <row r="162" spans="1:7" x14ac:dyDescent="0.25">
      <c r="A162" s="1" t="s">
        <v>189</v>
      </c>
      <c r="B162" s="2">
        <v>45681</v>
      </c>
      <c r="C162" s="1" t="s">
        <v>11</v>
      </c>
      <c r="D162" s="1" t="s">
        <v>9</v>
      </c>
      <c r="E162">
        <v>5</v>
      </c>
      <c r="F162">
        <v>22</v>
      </c>
      <c r="G162">
        <v>110</v>
      </c>
    </row>
    <row r="163" spans="1:7" x14ac:dyDescent="0.25">
      <c r="A163" s="1" t="s">
        <v>190</v>
      </c>
      <c r="B163" s="2">
        <v>45718</v>
      </c>
      <c r="C163" s="1" t="s">
        <v>18</v>
      </c>
      <c r="D163" s="1" t="s">
        <v>27</v>
      </c>
      <c r="E163">
        <v>8</v>
      </c>
      <c r="F163">
        <v>18</v>
      </c>
      <c r="G163">
        <v>144</v>
      </c>
    </row>
    <row r="164" spans="1:7" x14ac:dyDescent="0.25">
      <c r="A164" s="1" t="s">
        <v>191</v>
      </c>
      <c r="B164" s="2">
        <v>45873</v>
      </c>
      <c r="C164" s="1" t="s">
        <v>11</v>
      </c>
      <c r="D164" s="1" t="s">
        <v>53</v>
      </c>
      <c r="E164">
        <v>1</v>
      </c>
      <c r="F164">
        <v>28</v>
      </c>
      <c r="G164">
        <v>28</v>
      </c>
    </row>
    <row r="165" spans="1:7" x14ac:dyDescent="0.25">
      <c r="A165" s="1" t="s">
        <v>192</v>
      </c>
      <c r="B165" s="2">
        <v>45683</v>
      </c>
      <c r="C165" s="1" t="s">
        <v>18</v>
      </c>
      <c r="D165" s="1" t="s">
        <v>22</v>
      </c>
      <c r="E165">
        <v>3</v>
      </c>
      <c r="F165">
        <v>95</v>
      </c>
      <c r="G165">
        <v>285</v>
      </c>
    </row>
    <row r="166" spans="1:7" x14ac:dyDescent="0.25">
      <c r="A166" s="1" t="s">
        <v>193</v>
      </c>
      <c r="B166" s="2">
        <v>45803</v>
      </c>
      <c r="C166" s="1" t="s">
        <v>26</v>
      </c>
      <c r="D166" s="1" t="s">
        <v>16</v>
      </c>
      <c r="E166">
        <v>10</v>
      </c>
      <c r="F166">
        <v>65</v>
      </c>
      <c r="G166">
        <v>650</v>
      </c>
    </row>
    <row r="167" spans="1:7" x14ac:dyDescent="0.25">
      <c r="A167" s="1" t="s">
        <v>194</v>
      </c>
      <c r="B167" s="2">
        <v>45958</v>
      </c>
      <c r="C167" s="1" t="s">
        <v>11</v>
      </c>
      <c r="D167" s="1" t="s">
        <v>39</v>
      </c>
      <c r="F167">
        <v>110</v>
      </c>
    </row>
    <row r="168" spans="1:7" x14ac:dyDescent="0.25">
      <c r="A168" s="1" t="s">
        <v>195</v>
      </c>
      <c r="B168" s="2">
        <v>45679</v>
      </c>
      <c r="C168" s="1" t="s">
        <v>11</v>
      </c>
      <c r="D168" s="1" t="s">
        <v>27</v>
      </c>
      <c r="E168">
        <v>10</v>
      </c>
      <c r="F168">
        <v>18</v>
      </c>
      <c r="G168">
        <v>180</v>
      </c>
    </row>
    <row r="169" spans="1:7" x14ac:dyDescent="0.25">
      <c r="A169" s="1" t="s">
        <v>196</v>
      </c>
      <c r="B169" s="2">
        <v>45762</v>
      </c>
      <c r="C169" s="1" t="s">
        <v>8</v>
      </c>
      <c r="D169" s="1" t="s">
        <v>22</v>
      </c>
      <c r="E169">
        <v>1</v>
      </c>
      <c r="F169">
        <v>95</v>
      </c>
      <c r="G169">
        <v>95</v>
      </c>
    </row>
    <row r="170" spans="1:7" x14ac:dyDescent="0.25">
      <c r="A170" s="1" t="s">
        <v>197</v>
      </c>
      <c r="B170" s="2">
        <v>45877</v>
      </c>
      <c r="C170" s="1" t="s">
        <v>18</v>
      </c>
      <c r="D170" s="1" t="s">
        <v>12</v>
      </c>
      <c r="E170">
        <v>10</v>
      </c>
      <c r="F170">
        <v>275</v>
      </c>
      <c r="G170">
        <v>2750</v>
      </c>
    </row>
    <row r="171" spans="1:7" x14ac:dyDescent="0.25">
      <c r="A171" s="1" t="s">
        <v>198</v>
      </c>
      <c r="B171" s="2">
        <v>45891</v>
      </c>
      <c r="C171" s="1" t="s">
        <v>31</v>
      </c>
      <c r="D171" s="1" t="s">
        <v>42</v>
      </c>
      <c r="F171">
        <v>45</v>
      </c>
    </row>
    <row r="172" spans="1:7" x14ac:dyDescent="0.25">
      <c r="A172" s="1" t="s">
        <v>199</v>
      </c>
      <c r="B172" s="2">
        <v>46002</v>
      </c>
      <c r="C172" s="1" t="s">
        <v>29</v>
      </c>
      <c r="D172" s="1" t="s">
        <v>51</v>
      </c>
      <c r="E172">
        <v>4</v>
      </c>
      <c r="F172">
        <v>15</v>
      </c>
      <c r="G172">
        <v>60</v>
      </c>
    </row>
    <row r="173" spans="1:7" x14ac:dyDescent="0.25">
      <c r="A173" s="1" t="s">
        <v>200</v>
      </c>
      <c r="B173" s="2">
        <v>45984</v>
      </c>
      <c r="C173" s="1" t="s">
        <v>31</v>
      </c>
      <c r="D173" s="1" t="s">
        <v>39</v>
      </c>
      <c r="E173">
        <v>3</v>
      </c>
      <c r="F173">
        <v>110</v>
      </c>
      <c r="G173">
        <v>330</v>
      </c>
    </row>
    <row r="174" spans="1:7" x14ac:dyDescent="0.25">
      <c r="A174" s="1" t="s">
        <v>201</v>
      </c>
      <c r="B174" s="2">
        <v>45717</v>
      </c>
      <c r="C174" s="1" t="s">
        <v>8</v>
      </c>
      <c r="D174" s="1" t="s">
        <v>53</v>
      </c>
      <c r="E174">
        <v>1</v>
      </c>
      <c r="F174">
        <v>28</v>
      </c>
      <c r="G174">
        <v>28</v>
      </c>
    </row>
    <row r="175" spans="1:7" x14ac:dyDescent="0.25">
      <c r="A175" s="1" t="s">
        <v>202</v>
      </c>
      <c r="B175" s="2">
        <v>45992</v>
      </c>
      <c r="C175" s="1" t="s">
        <v>31</v>
      </c>
      <c r="D175" s="1" t="s">
        <v>39</v>
      </c>
      <c r="E175">
        <v>10</v>
      </c>
      <c r="F175">
        <v>110</v>
      </c>
      <c r="G175">
        <v>1100</v>
      </c>
    </row>
    <row r="176" spans="1:7" x14ac:dyDescent="0.25">
      <c r="A176" s="1" t="s">
        <v>203</v>
      </c>
      <c r="B176" s="2">
        <v>45857</v>
      </c>
      <c r="C176" s="1" t="s">
        <v>8</v>
      </c>
      <c r="D176" s="1" t="s">
        <v>33</v>
      </c>
      <c r="E176">
        <v>1</v>
      </c>
      <c r="F176">
        <v>12</v>
      </c>
      <c r="G176">
        <v>12</v>
      </c>
    </row>
    <row r="177" spans="1:7" x14ac:dyDescent="0.25">
      <c r="A177" s="1" t="s">
        <v>204</v>
      </c>
      <c r="B177" s="2">
        <v>45793</v>
      </c>
      <c r="C177" s="1" t="s">
        <v>8</v>
      </c>
      <c r="D177" s="1" t="s">
        <v>22</v>
      </c>
      <c r="E177">
        <v>3</v>
      </c>
      <c r="F177">
        <v>95</v>
      </c>
      <c r="G177">
        <v>285</v>
      </c>
    </row>
    <row r="178" spans="1:7" x14ac:dyDescent="0.25">
      <c r="A178" s="1" t="s">
        <v>205</v>
      </c>
      <c r="B178" s="2">
        <v>45694</v>
      </c>
      <c r="C178" s="1" t="s">
        <v>18</v>
      </c>
      <c r="D178" s="1" t="s">
        <v>24</v>
      </c>
      <c r="E178">
        <v>1</v>
      </c>
      <c r="F178">
        <v>15</v>
      </c>
      <c r="G178">
        <v>15</v>
      </c>
    </row>
    <row r="179" spans="1:7" x14ac:dyDescent="0.25">
      <c r="A179" s="1" t="s">
        <v>206</v>
      </c>
      <c r="B179" s="2">
        <v>45877</v>
      </c>
      <c r="C179" s="1" t="s">
        <v>8</v>
      </c>
      <c r="D179" s="1" t="s">
        <v>39</v>
      </c>
      <c r="E179">
        <v>10</v>
      </c>
      <c r="F179">
        <v>110</v>
      </c>
      <c r="G179">
        <v>1100</v>
      </c>
    </row>
    <row r="180" spans="1:7" x14ac:dyDescent="0.25">
      <c r="A180" s="1" t="s">
        <v>207</v>
      </c>
      <c r="B180" s="2">
        <v>45911</v>
      </c>
      <c r="C180" s="1" t="s">
        <v>8</v>
      </c>
      <c r="D180" s="1" t="s">
        <v>62</v>
      </c>
      <c r="E180">
        <v>7</v>
      </c>
      <c r="F180">
        <v>30</v>
      </c>
      <c r="G180">
        <v>210</v>
      </c>
    </row>
    <row r="181" spans="1:7" x14ac:dyDescent="0.25">
      <c r="A181" s="1" t="s">
        <v>208</v>
      </c>
      <c r="B181" s="2">
        <v>46001</v>
      </c>
      <c r="C181" s="1" t="s">
        <v>11</v>
      </c>
      <c r="D181" s="1" t="s">
        <v>39</v>
      </c>
      <c r="E181">
        <v>7</v>
      </c>
      <c r="F181">
        <v>110</v>
      </c>
      <c r="G181">
        <v>770</v>
      </c>
    </row>
    <row r="182" spans="1:7" x14ac:dyDescent="0.25">
      <c r="A182" s="1" t="s">
        <v>209</v>
      </c>
      <c r="B182" s="2">
        <v>45898</v>
      </c>
      <c r="C182" s="1" t="s">
        <v>8</v>
      </c>
      <c r="D182" s="1" t="s">
        <v>33</v>
      </c>
      <c r="E182">
        <v>2</v>
      </c>
      <c r="F182">
        <v>12</v>
      </c>
      <c r="G182">
        <v>24</v>
      </c>
    </row>
    <row r="183" spans="1:7" x14ac:dyDescent="0.25">
      <c r="A183" s="1" t="s">
        <v>210</v>
      </c>
      <c r="B183" s="2">
        <v>45966</v>
      </c>
      <c r="C183" s="1" t="s">
        <v>18</v>
      </c>
      <c r="D183" s="1" t="s">
        <v>24</v>
      </c>
      <c r="E183">
        <v>9</v>
      </c>
      <c r="F183">
        <v>15</v>
      </c>
      <c r="G183">
        <v>135</v>
      </c>
    </row>
    <row r="184" spans="1:7" x14ac:dyDescent="0.25">
      <c r="A184" s="1" t="s">
        <v>211</v>
      </c>
      <c r="B184" s="2">
        <v>45857</v>
      </c>
      <c r="C184" s="1" t="s">
        <v>26</v>
      </c>
      <c r="D184" s="1" t="s">
        <v>62</v>
      </c>
      <c r="E184">
        <v>7</v>
      </c>
      <c r="F184">
        <v>30</v>
      </c>
      <c r="G184">
        <v>210</v>
      </c>
    </row>
    <row r="185" spans="1:7" x14ac:dyDescent="0.25">
      <c r="A185" s="1" t="s">
        <v>212</v>
      </c>
      <c r="B185" s="2">
        <v>45759</v>
      </c>
      <c r="C185" s="1" t="s">
        <v>29</v>
      </c>
      <c r="D185" s="1" t="s">
        <v>42</v>
      </c>
      <c r="E185">
        <v>7</v>
      </c>
      <c r="F185">
        <v>45</v>
      </c>
      <c r="G185">
        <v>315</v>
      </c>
    </row>
    <row r="186" spans="1:7" x14ac:dyDescent="0.25">
      <c r="A186" s="1" t="s">
        <v>213</v>
      </c>
      <c r="B186" s="2">
        <v>45797</v>
      </c>
      <c r="C186" s="1" t="s">
        <v>11</v>
      </c>
      <c r="D186" s="1" t="s">
        <v>39</v>
      </c>
      <c r="E186">
        <v>4</v>
      </c>
      <c r="F186">
        <v>110</v>
      </c>
      <c r="G186">
        <v>440</v>
      </c>
    </row>
    <row r="187" spans="1:7" x14ac:dyDescent="0.25">
      <c r="A187" s="1" t="s">
        <v>214</v>
      </c>
      <c r="B187" s="2">
        <v>46007</v>
      </c>
      <c r="C187" s="1" t="s">
        <v>29</v>
      </c>
      <c r="D187" s="1" t="s">
        <v>16</v>
      </c>
      <c r="E187">
        <v>2</v>
      </c>
      <c r="F187">
        <v>65</v>
      </c>
      <c r="G187">
        <v>130</v>
      </c>
    </row>
    <row r="188" spans="1:7" x14ac:dyDescent="0.25">
      <c r="A188" s="1" t="s">
        <v>215</v>
      </c>
      <c r="B188" s="2">
        <v>45826</v>
      </c>
      <c r="C188" s="1" t="s">
        <v>26</v>
      </c>
      <c r="D188" s="1" t="s">
        <v>62</v>
      </c>
      <c r="E188">
        <v>7</v>
      </c>
      <c r="F188">
        <v>30</v>
      </c>
      <c r="G188">
        <v>210</v>
      </c>
    </row>
    <row r="189" spans="1:7" x14ac:dyDescent="0.25">
      <c r="A189" s="1" t="s">
        <v>216</v>
      </c>
      <c r="B189" s="2">
        <v>45941</v>
      </c>
      <c r="C189" s="1" t="s">
        <v>29</v>
      </c>
      <c r="D189" s="1" t="s">
        <v>49</v>
      </c>
      <c r="E189">
        <v>8</v>
      </c>
      <c r="F189">
        <v>10</v>
      </c>
      <c r="G189">
        <v>80</v>
      </c>
    </row>
    <row r="190" spans="1:7" x14ac:dyDescent="0.25">
      <c r="A190" s="1" t="s">
        <v>217</v>
      </c>
      <c r="B190" s="2">
        <v>45991</v>
      </c>
      <c r="C190" s="1" t="s">
        <v>29</v>
      </c>
      <c r="D190" s="1" t="s">
        <v>24</v>
      </c>
      <c r="E190">
        <v>2</v>
      </c>
      <c r="F190">
        <v>15</v>
      </c>
      <c r="G190">
        <v>30</v>
      </c>
    </row>
    <row r="191" spans="1:7" x14ac:dyDescent="0.25">
      <c r="A191" s="1" t="s">
        <v>218</v>
      </c>
      <c r="B191" s="2">
        <v>45698</v>
      </c>
      <c r="C191" s="1" t="s">
        <v>26</v>
      </c>
      <c r="D191" s="1" t="s">
        <v>24</v>
      </c>
      <c r="E191">
        <v>10</v>
      </c>
      <c r="F191">
        <v>15</v>
      </c>
      <c r="G191">
        <v>150</v>
      </c>
    </row>
    <row r="192" spans="1:7" x14ac:dyDescent="0.25">
      <c r="A192" s="1" t="s">
        <v>219</v>
      </c>
      <c r="B192" s="2">
        <v>45940</v>
      </c>
      <c r="C192" s="1" t="s">
        <v>26</v>
      </c>
      <c r="D192" s="1" t="s">
        <v>42</v>
      </c>
      <c r="E192">
        <v>2</v>
      </c>
      <c r="F192">
        <v>45</v>
      </c>
      <c r="G192">
        <v>90</v>
      </c>
    </row>
    <row r="193" spans="1:7" x14ac:dyDescent="0.25">
      <c r="A193" s="1" t="s">
        <v>220</v>
      </c>
      <c r="B193" s="2">
        <v>45873</v>
      </c>
      <c r="C193" s="1" t="s">
        <v>29</v>
      </c>
      <c r="D193" s="1" t="s">
        <v>42</v>
      </c>
      <c r="E193">
        <v>5</v>
      </c>
      <c r="F193">
        <v>45</v>
      </c>
      <c r="G193">
        <v>225</v>
      </c>
    </row>
    <row r="194" spans="1:7" x14ac:dyDescent="0.25">
      <c r="A194" s="1" t="s">
        <v>221</v>
      </c>
      <c r="B194" s="2">
        <v>45959</v>
      </c>
      <c r="C194" s="1" t="s">
        <v>26</v>
      </c>
      <c r="D194" s="1" t="s">
        <v>53</v>
      </c>
      <c r="E194">
        <v>1</v>
      </c>
      <c r="F194">
        <v>28</v>
      </c>
      <c r="G194">
        <v>28</v>
      </c>
    </row>
    <row r="195" spans="1:7" x14ac:dyDescent="0.25">
      <c r="A195" s="1" t="s">
        <v>222</v>
      </c>
      <c r="B195" s="2">
        <v>45852</v>
      </c>
      <c r="C195" s="1" t="s">
        <v>31</v>
      </c>
      <c r="D195" s="1" t="s">
        <v>24</v>
      </c>
      <c r="E195">
        <v>9</v>
      </c>
      <c r="F195">
        <v>15</v>
      </c>
      <c r="G195">
        <v>135</v>
      </c>
    </row>
    <row r="196" spans="1:7" x14ac:dyDescent="0.25">
      <c r="A196" s="1" t="s">
        <v>223</v>
      </c>
      <c r="B196" s="2">
        <v>45996</v>
      </c>
      <c r="C196" s="1" t="s">
        <v>11</v>
      </c>
      <c r="D196" s="1" t="s">
        <v>62</v>
      </c>
      <c r="E196">
        <v>5</v>
      </c>
      <c r="F196">
        <v>30</v>
      </c>
      <c r="G196">
        <v>150</v>
      </c>
    </row>
    <row r="197" spans="1:7" x14ac:dyDescent="0.25">
      <c r="A197" s="1" t="s">
        <v>224</v>
      </c>
      <c r="B197" s="2">
        <v>45884</v>
      </c>
      <c r="C197" s="1" t="s">
        <v>31</v>
      </c>
      <c r="D197" s="1" t="s">
        <v>53</v>
      </c>
      <c r="E197">
        <v>8</v>
      </c>
      <c r="F197">
        <v>28</v>
      </c>
      <c r="G197">
        <v>224</v>
      </c>
    </row>
    <row r="198" spans="1:7" x14ac:dyDescent="0.25">
      <c r="A198" s="1" t="s">
        <v>225</v>
      </c>
      <c r="B198" s="2">
        <v>45878</v>
      </c>
      <c r="C198" s="1" t="s">
        <v>29</v>
      </c>
      <c r="D198" s="1" t="s">
        <v>39</v>
      </c>
      <c r="E198">
        <v>4</v>
      </c>
      <c r="F198">
        <v>110</v>
      </c>
      <c r="G198">
        <v>440</v>
      </c>
    </row>
    <row r="199" spans="1:7" x14ac:dyDescent="0.25">
      <c r="A199" s="1" t="s">
        <v>226</v>
      </c>
      <c r="B199" s="2">
        <v>45786</v>
      </c>
      <c r="C199" s="1" t="s">
        <v>8</v>
      </c>
      <c r="D199" s="1" t="s">
        <v>53</v>
      </c>
      <c r="E199">
        <v>10</v>
      </c>
      <c r="F199">
        <v>28</v>
      </c>
      <c r="G199">
        <v>280</v>
      </c>
    </row>
    <row r="200" spans="1:7" x14ac:dyDescent="0.25">
      <c r="A200" s="1" t="s">
        <v>227</v>
      </c>
      <c r="B200" s="2">
        <v>45897</v>
      </c>
      <c r="C200" s="1" t="s">
        <v>11</v>
      </c>
      <c r="D200" s="1" t="s">
        <v>42</v>
      </c>
      <c r="E200">
        <v>3</v>
      </c>
      <c r="F200">
        <v>45</v>
      </c>
      <c r="G200">
        <v>135</v>
      </c>
    </row>
    <row r="201" spans="1:7" x14ac:dyDescent="0.25">
      <c r="A201" s="1" t="s">
        <v>228</v>
      </c>
      <c r="B201" s="2">
        <v>45843</v>
      </c>
      <c r="C201" s="1" t="s">
        <v>26</v>
      </c>
      <c r="D201" s="1" t="s">
        <v>62</v>
      </c>
      <c r="E201">
        <v>9</v>
      </c>
      <c r="F201">
        <v>30</v>
      </c>
      <c r="G201">
        <v>270</v>
      </c>
    </row>
    <row r="202" spans="1:7" x14ac:dyDescent="0.25">
      <c r="A202" s="1" t="s">
        <v>229</v>
      </c>
      <c r="B202" s="2">
        <v>45739</v>
      </c>
      <c r="C202" s="1" t="s">
        <v>11</v>
      </c>
      <c r="D202" s="1" t="s">
        <v>24</v>
      </c>
      <c r="E202">
        <v>5</v>
      </c>
      <c r="F202">
        <v>15</v>
      </c>
      <c r="G202">
        <v>75</v>
      </c>
    </row>
    <row r="203" spans="1:7" x14ac:dyDescent="0.25">
      <c r="A203" s="1" t="s">
        <v>230</v>
      </c>
      <c r="B203" s="2">
        <v>45698</v>
      </c>
      <c r="C203" s="1" t="s">
        <v>26</v>
      </c>
      <c r="D203" s="1" t="s">
        <v>24</v>
      </c>
      <c r="E203">
        <v>5</v>
      </c>
      <c r="F203">
        <v>15</v>
      </c>
      <c r="G203">
        <v>75</v>
      </c>
    </row>
    <row r="204" spans="1:7" x14ac:dyDescent="0.25">
      <c r="A204" s="1" t="s">
        <v>231</v>
      </c>
      <c r="B204" s="2">
        <v>45712</v>
      </c>
      <c r="C204" s="1" t="s">
        <v>18</v>
      </c>
      <c r="D204" s="1" t="s">
        <v>9</v>
      </c>
      <c r="E204">
        <v>1</v>
      </c>
      <c r="F204">
        <v>22</v>
      </c>
      <c r="G204">
        <v>22</v>
      </c>
    </row>
    <row r="205" spans="1:7" x14ac:dyDescent="0.25">
      <c r="A205" s="1" t="s">
        <v>232</v>
      </c>
      <c r="B205" s="2">
        <v>45755</v>
      </c>
      <c r="C205" s="1" t="s">
        <v>31</v>
      </c>
      <c r="D205" s="1" t="s">
        <v>9</v>
      </c>
      <c r="E205">
        <v>7</v>
      </c>
      <c r="F205">
        <v>22</v>
      </c>
      <c r="G205">
        <v>154</v>
      </c>
    </row>
    <row r="206" spans="1:7" x14ac:dyDescent="0.25">
      <c r="A206" s="1" t="s">
        <v>233</v>
      </c>
      <c r="B206" s="2">
        <v>45784</v>
      </c>
      <c r="C206" s="1" t="s">
        <v>8</v>
      </c>
      <c r="D206" s="1" t="s">
        <v>27</v>
      </c>
      <c r="E206">
        <v>10</v>
      </c>
      <c r="F206">
        <v>18</v>
      </c>
      <c r="G206">
        <v>180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7357-4312-4F96-86D3-CA36B7E0B1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DAFD4E-CA3A-4E4E-8386-6B457263A0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InstitutionalAssessment_transac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2026-05-30T02:11:36Z</dcterms:created>
  <dcterms:modified xsi:type="dcterms:W3CDTF">2026-05-30T06:47:15Z</dcterms:modified>
</cp:coreProperties>
</file>